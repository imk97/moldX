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ssetx\function\"/>
    </mc:Choice>
  </mc:AlternateContent>
  <xr:revisionPtr revIDLastSave="0" documentId="13_ncr:1_{C4B39343-DD21-4328-AE77-FDE823E74893}" xr6:coauthVersionLast="47" xr6:coauthVersionMax="47" xr10:uidLastSave="{00000000-0000-0000-0000-000000000000}"/>
  <bookViews>
    <workbookView xWindow="-120" yWindow="-120" windowWidth="29040" windowHeight="15720" xr2:uid="{9BC57BCF-AE79-4796-BD03-06513ABF4AED}"/>
  </bookViews>
  <sheets>
    <sheet name="Menu generator" sheetId="2" r:id="rId1"/>
    <sheet name="lama tak paka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C126" i="2" l="1"/>
  <c r="DD126" i="2"/>
  <c r="DL126" i="2"/>
  <c r="DC127" i="2"/>
  <c r="DL127" i="2" s="1"/>
  <c r="DD127" i="2"/>
  <c r="DC128" i="2"/>
  <c r="DD128" i="2"/>
  <c r="DL128" i="2"/>
  <c r="DC119" i="2"/>
  <c r="DD119" i="2"/>
  <c r="DL119" i="2"/>
  <c r="DC120" i="2"/>
  <c r="DL120" i="2" s="1"/>
  <c r="DD120" i="2"/>
  <c r="DC121" i="2"/>
  <c r="DD121" i="2"/>
  <c r="DL121" i="2"/>
  <c r="DC122" i="2"/>
  <c r="DD122" i="2"/>
  <c r="DL122" i="2"/>
  <c r="DC123" i="2"/>
  <c r="DD123" i="2"/>
  <c r="DL123" i="2"/>
  <c r="DC124" i="2"/>
  <c r="DL124" i="2" s="1"/>
  <c r="DD124" i="2"/>
  <c r="DC125" i="2"/>
  <c r="DD125" i="2"/>
  <c r="DL125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DB119" i="2" s="1"/>
  <c r="CR119" i="2"/>
  <c r="CS119" i="2"/>
  <c r="CT119" i="2"/>
  <c r="CU119" i="2"/>
  <c r="CV119" i="2"/>
  <c r="CW119" i="2"/>
  <c r="CX119" i="2"/>
  <c r="CY119" i="2"/>
  <c r="CZ119" i="2"/>
  <c r="DA119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DB121" i="2" s="1"/>
  <c r="CR121" i="2"/>
  <c r="CS121" i="2"/>
  <c r="CT121" i="2"/>
  <c r="CU121" i="2"/>
  <c r="CV121" i="2"/>
  <c r="CW121" i="2"/>
  <c r="CX121" i="2"/>
  <c r="CY121" i="2"/>
  <c r="CZ121" i="2"/>
  <c r="DA121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DB123" i="2" s="1"/>
  <c r="CS123" i="2"/>
  <c r="CT123" i="2"/>
  <c r="CU123" i="2"/>
  <c r="CV123" i="2"/>
  <c r="CW123" i="2"/>
  <c r="CX123" i="2"/>
  <c r="CY123" i="2"/>
  <c r="CZ123" i="2"/>
  <c r="DA123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DB125" i="2" s="1"/>
  <c r="CS125" i="2"/>
  <c r="CT125" i="2"/>
  <c r="CU125" i="2"/>
  <c r="CV125" i="2"/>
  <c r="CW125" i="2"/>
  <c r="CX125" i="2"/>
  <c r="CY125" i="2"/>
  <c r="CZ125" i="2"/>
  <c r="DA125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DB127" i="2" s="1"/>
  <c r="CS127" i="2"/>
  <c r="CT127" i="2"/>
  <c r="CU127" i="2"/>
  <c r="CV127" i="2"/>
  <c r="CW127" i="2"/>
  <c r="CX127" i="2"/>
  <c r="CY127" i="2"/>
  <c r="CZ127" i="2"/>
  <c r="DA127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CF118" i="2"/>
  <c r="CG118" i="2"/>
  <c r="CH118" i="2"/>
  <c r="CI118" i="2"/>
  <c r="DB118" i="2" s="1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BK123" i="2"/>
  <c r="BL123" i="2"/>
  <c r="BL124" i="2" s="1"/>
  <c r="BL125" i="2" s="1"/>
  <c r="BL126" i="2" s="1"/>
  <c r="BL127" i="2" s="1"/>
  <c r="BL128" i="2" s="1"/>
  <c r="BM123" i="2"/>
  <c r="BM124" i="2" s="1"/>
  <c r="BM125" i="2" s="1"/>
  <c r="BM126" i="2" s="1"/>
  <c r="BM127" i="2" s="1"/>
  <c r="BM128" i="2" s="1"/>
  <c r="BN123" i="2"/>
  <c r="BN124" i="2" s="1"/>
  <c r="BN125" i="2" s="1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BK124" i="2"/>
  <c r="BK125" i="2" s="1"/>
  <c r="BK126" i="2" s="1"/>
  <c r="BK127" i="2" s="1"/>
  <c r="BK128" i="2" s="1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BH119" i="2"/>
  <c r="BG119" i="2" s="1"/>
  <c r="BI119" i="2"/>
  <c r="BI120" i="2"/>
  <c r="BI121" i="2" s="1"/>
  <c r="BI122" i="2" s="1"/>
  <c r="BI123" i="2" s="1"/>
  <c r="BI124" i="2" s="1"/>
  <c r="BI125" i="2" s="1"/>
  <c r="BI126" i="2" s="1"/>
  <c r="BI127" i="2" s="1"/>
  <c r="BI128" i="2" s="1"/>
  <c r="BI118" i="2"/>
  <c r="BH118" i="2" s="1"/>
  <c r="BG118" i="2" s="1"/>
  <c r="BF118" i="2" s="1"/>
  <c r="BE118" i="2" s="1"/>
  <c r="BD118" i="2" s="1"/>
  <c r="BC118" i="2" s="1"/>
  <c r="BB118" i="2" s="1"/>
  <c r="BA118" i="2" s="1"/>
  <c r="AZ118" i="2" s="1"/>
  <c r="AY118" i="2" s="1"/>
  <c r="AX118" i="2" s="1"/>
  <c r="AW118" i="2" s="1"/>
  <c r="AV118" i="2" s="1"/>
  <c r="B119" i="2"/>
  <c r="W119" i="2"/>
  <c r="X119" i="2"/>
  <c r="Y119" i="2"/>
  <c r="AP119" i="2" s="1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B120" i="2"/>
  <c r="B121" i="2" s="1"/>
  <c r="B122" i="2" s="1"/>
  <c r="B123" i="2" s="1"/>
  <c r="B124" i="2" s="1"/>
  <c r="B125" i="2" s="1"/>
  <c r="B126" i="2" s="1"/>
  <c r="B127" i="2" s="1"/>
  <c r="B128" i="2" s="1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W121" i="2"/>
  <c r="X121" i="2"/>
  <c r="Y121" i="2"/>
  <c r="Z121" i="2"/>
  <c r="AA121" i="2"/>
  <c r="AB121" i="2"/>
  <c r="AC121" i="2"/>
  <c r="AP121" i="2" s="1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W123" i="2"/>
  <c r="X123" i="2"/>
  <c r="Y123" i="2"/>
  <c r="Z123" i="2"/>
  <c r="AT124" i="2" s="1"/>
  <c r="AA123" i="2"/>
  <c r="AP123" i="2" s="1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W124" i="2"/>
  <c r="AP124" i="2" s="1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W125" i="2"/>
  <c r="X125" i="2"/>
  <c r="Y125" i="2"/>
  <c r="Z125" i="2"/>
  <c r="AA125" i="2"/>
  <c r="AP125" i="2" s="1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T125" i="2"/>
  <c r="W126" i="2"/>
  <c r="X126" i="2"/>
  <c r="Y126" i="2"/>
  <c r="Z126" i="2"/>
  <c r="AA126" i="2"/>
  <c r="AB126" i="2"/>
  <c r="AP126" i="2" s="1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W127" i="2"/>
  <c r="X127" i="2"/>
  <c r="Y127" i="2"/>
  <c r="AS128" i="2" s="1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S127" i="2"/>
  <c r="W128" i="2"/>
  <c r="X128" i="2"/>
  <c r="Y128" i="2"/>
  <c r="Z128" i="2"/>
  <c r="AA128" i="2"/>
  <c r="AP128" i="2" s="1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BS5" i="1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D79" i="2"/>
  <c r="DD80" i="2"/>
  <c r="DD81" i="2"/>
  <c r="DD82" i="2"/>
  <c r="DD83" i="2"/>
  <c r="DD84" i="2"/>
  <c r="DD85" i="2"/>
  <c r="DD86" i="2"/>
  <c r="DD87" i="2"/>
  <c r="DD88" i="2"/>
  <c r="DD89" i="2"/>
  <c r="DD90" i="2"/>
  <c r="DD91" i="2"/>
  <c r="DD92" i="2"/>
  <c r="DD93" i="2"/>
  <c r="DD94" i="2"/>
  <c r="DD95" i="2"/>
  <c r="DD96" i="2"/>
  <c r="DD97" i="2"/>
  <c r="DD98" i="2"/>
  <c r="DD99" i="2"/>
  <c r="DD100" i="2"/>
  <c r="DD101" i="2"/>
  <c r="DD102" i="2"/>
  <c r="DD103" i="2"/>
  <c r="DD104" i="2"/>
  <c r="DD105" i="2"/>
  <c r="DD106" i="2"/>
  <c r="DD107" i="2"/>
  <c r="DD108" i="2"/>
  <c r="DD109" i="2"/>
  <c r="DD110" i="2"/>
  <c r="DD111" i="2"/>
  <c r="DD112" i="2"/>
  <c r="DD113" i="2"/>
  <c r="DD114" i="2"/>
  <c r="DD115" i="2"/>
  <c r="DD116" i="2"/>
  <c r="DD117" i="2"/>
  <c r="DD118" i="2"/>
  <c r="DD13" i="2"/>
  <c r="CF14" i="2"/>
  <c r="CG14" i="2"/>
  <c r="CH14" i="2"/>
  <c r="CF15" i="2"/>
  <c r="CG15" i="2"/>
  <c r="CH15" i="2"/>
  <c r="CF16" i="2"/>
  <c r="CG16" i="2"/>
  <c r="CH16" i="2"/>
  <c r="CF17" i="2"/>
  <c r="CG17" i="2"/>
  <c r="CH17" i="2"/>
  <c r="CF18" i="2"/>
  <c r="CG18" i="2"/>
  <c r="CH18" i="2"/>
  <c r="CF19" i="2"/>
  <c r="CG19" i="2"/>
  <c r="CH19" i="2"/>
  <c r="CF20" i="2"/>
  <c r="CG20" i="2"/>
  <c r="CH20" i="2"/>
  <c r="CF21" i="2"/>
  <c r="CG21" i="2"/>
  <c r="CH21" i="2"/>
  <c r="CF22" i="2"/>
  <c r="CG22" i="2"/>
  <c r="CH22" i="2"/>
  <c r="CF23" i="2"/>
  <c r="CG23" i="2"/>
  <c r="CH23" i="2"/>
  <c r="CF24" i="2"/>
  <c r="CG24" i="2"/>
  <c r="CH24" i="2"/>
  <c r="CF25" i="2"/>
  <c r="CG25" i="2"/>
  <c r="CH25" i="2"/>
  <c r="CF26" i="2"/>
  <c r="CG26" i="2"/>
  <c r="CH26" i="2"/>
  <c r="CF27" i="2"/>
  <c r="CG27" i="2"/>
  <c r="CH27" i="2"/>
  <c r="CF28" i="2"/>
  <c r="CG28" i="2"/>
  <c r="CH28" i="2"/>
  <c r="CF29" i="2"/>
  <c r="CG29" i="2"/>
  <c r="CH29" i="2"/>
  <c r="CF30" i="2"/>
  <c r="CG30" i="2"/>
  <c r="CH30" i="2"/>
  <c r="CF31" i="2"/>
  <c r="CG31" i="2"/>
  <c r="CH31" i="2"/>
  <c r="CF32" i="2"/>
  <c r="CG32" i="2"/>
  <c r="CH32" i="2"/>
  <c r="CF33" i="2"/>
  <c r="CG33" i="2"/>
  <c r="CH33" i="2"/>
  <c r="CF34" i="2"/>
  <c r="CG34" i="2"/>
  <c r="CH34" i="2"/>
  <c r="CF35" i="2"/>
  <c r="CG35" i="2"/>
  <c r="CH35" i="2"/>
  <c r="CF36" i="2"/>
  <c r="CG36" i="2"/>
  <c r="CH36" i="2"/>
  <c r="CF37" i="2"/>
  <c r="CG37" i="2"/>
  <c r="CH37" i="2"/>
  <c r="CF38" i="2"/>
  <c r="CG38" i="2"/>
  <c r="CH38" i="2"/>
  <c r="CF39" i="2"/>
  <c r="CG39" i="2"/>
  <c r="CH39" i="2"/>
  <c r="CF40" i="2"/>
  <c r="CG40" i="2"/>
  <c r="CH40" i="2"/>
  <c r="CF41" i="2"/>
  <c r="CG41" i="2"/>
  <c r="CH41" i="2"/>
  <c r="CF42" i="2"/>
  <c r="CG42" i="2"/>
  <c r="CH42" i="2"/>
  <c r="CF43" i="2"/>
  <c r="CG43" i="2"/>
  <c r="CH43" i="2"/>
  <c r="CF44" i="2"/>
  <c r="CG44" i="2"/>
  <c r="CH44" i="2"/>
  <c r="CF45" i="2"/>
  <c r="CG45" i="2"/>
  <c r="CH45" i="2"/>
  <c r="CF46" i="2"/>
  <c r="CG46" i="2"/>
  <c r="CH46" i="2"/>
  <c r="CF47" i="2"/>
  <c r="CG47" i="2"/>
  <c r="CH47" i="2"/>
  <c r="CF48" i="2"/>
  <c r="CG48" i="2"/>
  <c r="CH48" i="2"/>
  <c r="CF49" i="2"/>
  <c r="CG49" i="2"/>
  <c r="CH49" i="2"/>
  <c r="CF50" i="2"/>
  <c r="CG50" i="2"/>
  <c r="CH50" i="2"/>
  <c r="CF51" i="2"/>
  <c r="CG51" i="2"/>
  <c r="CH51" i="2"/>
  <c r="CF52" i="2"/>
  <c r="CG52" i="2"/>
  <c r="CH52" i="2"/>
  <c r="CF53" i="2"/>
  <c r="CG53" i="2"/>
  <c r="CH53" i="2"/>
  <c r="CF54" i="2"/>
  <c r="CG54" i="2"/>
  <c r="CH54" i="2"/>
  <c r="CF55" i="2"/>
  <c r="CG55" i="2"/>
  <c r="CH55" i="2"/>
  <c r="CF56" i="2"/>
  <c r="CG56" i="2"/>
  <c r="CH56" i="2"/>
  <c r="CF57" i="2"/>
  <c r="CG57" i="2"/>
  <c r="CH57" i="2"/>
  <c r="CF58" i="2"/>
  <c r="CG58" i="2"/>
  <c r="CH58" i="2"/>
  <c r="CF59" i="2"/>
  <c r="CG59" i="2"/>
  <c r="CH59" i="2"/>
  <c r="CF60" i="2"/>
  <c r="CG60" i="2"/>
  <c r="CH60" i="2"/>
  <c r="CF61" i="2"/>
  <c r="CG61" i="2"/>
  <c r="CH61" i="2"/>
  <c r="CF62" i="2"/>
  <c r="CG62" i="2"/>
  <c r="CH62" i="2"/>
  <c r="CF63" i="2"/>
  <c r="CG63" i="2"/>
  <c r="CH63" i="2"/>
  <c r="CF64" i="2"/>
  <c r="CG64" i="2"/>
  <c r="CH64" i="2"/>
  <c r="CF65" i="2"/>
  <c r="CG65" i="2"/>
  <c r="CH65" i="2"/>
  <c r="CF66" i="2"/>
  <c r="CG66" i="2"/>
  <c r="CH66" i="2"/>
  <c r="CF67" i="2"/>
  <c r="CG67" i="2"/>
  <c r="CH67" i="2"/>
  <c r="CF68" i="2"/>
  <c r="CG68" i="2"/>
  <c r="CH68" i="2"/>
  <c r="CF69" i="2"/>
  <c r="CG69" i="2"/>
  <c r="CH69" i="2"/>
  <c r="CF70" i="2"/>
  <c r="CG70" i="2"/>
  <c r="CH70" i="2"/>
  <c r="CF71" i="2"/>
  <c r="CG71" i="2"/>
  <c r="CH71" i="2"/>
  <c r="CF72" i="2"/>
  <c r="CG72" i="2"/>
  <c r="CH72" i="2"/>
  <c r="CF73" i="2"/>
  <c r="CG73" i="2"/>
  <c r="CH73" i="2"/>
  <c r="CF74" i="2"/>
  <c r="CG74" i="2"/>
  <c r="CH74" i="2"/>
  <c r="CF75" i="2"/>
  <c r="CG75" i="2"/>
  <c r="CH75" i="2"/>
  <c r="CF76" i="2"/>
  <c r="CG76" i="2"/>
  <c r="CH76" i="2"/>
  <c r="CF77" i="2"/>
  <c r="CG77" i="2"/>
  <c r="CH77" i="2"/>
  <c r="CF78" i="2"/>
  <c r="CG78" i="2"/>
  <c r="CH78" i="2"/>
  <c r="CF79" i="2"/>
  <c r="CG79" i="2"/>
  <c r="CH79" i="2"/>
  <c r="CF80" i="2"/>
  <c r="CG80" i="2"/>
  <c r="CH80" i="2"/>
  <c r="CF81" i="2"/>
  <c r="CG81" i="2"/>
  <c r="CH81" i="2"/>
  <c r="CF82" i="2"/>
  <c r="CG82" i="2"/>
  <c r="CH82" i="2"/>
  <c r="CF83" i="2"/>
  <c r="CG83" i="2"/>
  <c r="CH83" i="2"/>
  <c r="CF84" i="2"/>
  <c r="CG84" i="2"/>
  <c r="CH84" i="2"/>
  <c r="CF85" i="2"/>
  <c r="CG85" i="2"/>
  <c r="CH85" i="2"/>
  <c r="CF86" i="2"/>
  <c r="CG86" i="2"/>
  <c r="CH86" i="2"/>
  <c r="CF87" i="2"/>
  <c r="CG87" i="2"/>
  <c r="CH87" i="2"/>
  <c r="CF88" i="2"/>
  <c r="CG88" i="2"/>
  <c r="CH88" i="2"/>
  <c r="CF89" i="2"/>
  <c r="CG89" i="2"/>
  <c r="CH89" i="2"/>
  <c r="CF90" i="2"/>
  <c r="CG90" i="2"/>
  <c r="CH90" i="2"/>
  <c r="CF91" i="2"/>
  <c r="CG91" i="2"/>
  <c r="CH91" i="2"/>
  <c r="CF92" i="2"/>
  <c r="CG92" i="2"/>
  <c r="CH92" i="2"/>
  <c r="CF93" i="2"/>
  <c r="CG93" i="2"/>
  <c r="CH93" i="2"/>
  <c r="CF94" i="2"/>
  <c r="CG94" i="2"/>
  <c r="CH94" i="2"/>
  <c r="CF95" i="2"/>
  <c r="CG95" i="2"/>
  <c r="CH95" i="2"/>
  <c r="CF96" i="2"/>
  <c r="CG96" i="2"/>
  <c r="CH96" i="2"/>
  <c r="CF97" i="2"/>
  <c r="CG97" i="2"/>
  <c r="CH97" i="2"/>
  <c r="CF98" i="2"/>
  <c r="CG98" i="2"/>
  <c r="CH98" i="2"/>
  <c r="CF99" i="2"/>
  <c r="CG99" i="2"/>
  <c r="CH99" i="2"/>
  <c r="CF100" i="2"/>
  <c r="CG100" i="2"/>
  <c r="CH100" i="2"/>
  <c r="CF101" i="2"/>
  <c r="CG101" i="2"/>
  <c r="CH101" i="2"/>
  <c r="CF102" i="2"/>
  <c r="CG102" i="2"/>
  <c r="CH102" i="2"/>
  <c r="CF103" i="2"/>
  <c r="CG103" i="2"/>
  <c r="CH103" i="2"/>
  <c r="CF104" i="2"/>
  <c r="CG104" i="2"/>
  <c r="CH104" i="2"/>
  <c r="CF105" i="2"/>
  <c r="CG105" i="2"/>
  <c r="CH105" i="2"/>
  <c r="CF106" i="2"/>
  <c r="CG106" i="2"/>
  <c r="CH106" i="2"/>
  <c r="CF107" i="2"/>
  <c r="CG107" i="2"/>
  <c r="CH107" i="2"/>
  <c r="CF108" i="2"/>
  <c r="CG108" i="2"/>
  <c r="CH108" i="2"/>
  <c r="CF109" i="2"/>
  <c r="CG109" i="2"/>
  <c r="CH109" i="2"/>
  <c r="CF110" i="2"/>
  <c r="CG110" i="2"/>
  <c r="CH110" i="2"/>
  <c r="CF111" i="2"/>
  <c r="CG111" i="2"/>
  <c r="CH111" i="2"/>
  <c r="CF112" i="2"/>
  <c r="CG112" i="2"/>
  <c r="CH112" i="2"/>
  <c r="CF113" i="2"/>
  <c r="CG113" i="2"/>
  <c r="CH113" i="2"/>
  <c r="CF114" i="2"/>
  <c r="CG114" i="2"/>
  <c r="CH114" i="2"/>
  <c r="CF115" i="2"/>
  <c r="CG115" i="2"/>
  <c r="CH115" i="2"/>
  <c r="CF116" i="2"/>
  <c r="CG116" i="2"/>
  <c r="CH116" i="2"/>
  <c r="CF117" i="2"/>
  <c r="CG117" i="2"/>
  <c r="CH117" i="2"/>
  <c r="CG13" i="2"/>
  <c r="CH13" i="2"/>
  <c r="CF13" i="2"/>
  <c r="CJ12" i="2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CW12" i="2" s="1"/>
  <c r="CX12" i="2" s="1"/>
  <c r="CY12" i="2" s="1"/>
  <c r="CZ12" i="2" s="1"/>
  <c r="DA12" i="2" s="1"/>
  <c r="CE13" i="2"/>
  <c r="B14" i="2"/>
  <c r="CE14" i="2" s="1"/>
  <c r="BL12" i="2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AR12" i="2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W13" i="2"/>
  <c r="AQ13" i="2" s="1"/>
  <c r="BK13" i="2" s="1"/>
  <c r="CI13" i="2" s="1"/>
  <c r="X12" i="2"/>
  <c r="Y12" i="2" s="1"/>
  <c r="D12" i="2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5" i="1"/>
  <c r="BQ6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5" i="1"/>
  <c r="BS4" i="1"/>
  <c r="AS6" i="1"/>
  <c r="AT6" i="1"/>
  <c r="AU6" i="1"/>
  <c r="AS7" i="1"/>
  <c r="AT7" i="1"/>
  <c r="AU7" i="1"/>
  <c r="AS8" i="1"/>
  <c r="AT8" i="1"/>
  <c r="AU8" i="1"/>
  <c r="AS9" i="1"/>
  <c r="AT9" i="1"/>
  <c r="AU9" i="1"/>
  <c r="AS10" i="1"/>
  <c r="AT10" i="1"/>
  <c r="AU10" i="1"/>
  <c r="AS11" i="1"/>
  <c r="AT11" i="1"/>
  <c r="AU11" i="1"/>
  <c r="AS12" i="1"/>
  <c r="AT12" i="1"/>
  <c r="AU12" i="1"/>
  <c r="AS13" i="1"/>
  <c r="AT13" i="1"/>
  <c r="AU13" i="1"/>
  <c r="AS14" i="1"/>
  <c r="AT14" i="1"/>
  <c r="AU14" i="1"/>
  <c r="AS15" i="1"/>
  <c r="AT15" i="1"/>
  <c r="AU15" i="1"/>
  <c r="AS16" i="1"/>
  <c r="AT16" i="1"/>
  <c r="AU16" i="1"/>
  <c r="AS17" i="1"/>
  <c r="AT17" i="1"/>
  <c r="AU17" i="1"/>
  <c r="AS18" i="1"/>
  <c r="AT18" i="1"/>
  <c r="AU18" i="1"/>
  <c r="AS19" i="1"/>
  <c r="AT19" i="1"/>
  <c r="AU19" i="1"/>
  <c r="AS20" i="1"/>
  <c r="AT20" i="1"/>
  <c r="AU20" i="1"/>
  <c r="AS21" i="1"/>
  <c r="AT21" i="1"/>
  <c r="AU21" i="1"/>
  <c r="AS22" i="1"/>
  <c r="AT22" i="1"/>
  <c r="AU22" i="1"/>
  <c r="AS23" i="1"/>
  <c r="AT23" i="1"/>
  <c r="AU23" i="1"/>
  <c r="AS24" i="1"/>
  <c r="AT24" i="1"/>
  <c r="AU24" i="1"/>
  <c r="AS25" i="1"/>
  <c r="AT25" i="1"/>
  <c r="AU25" i="1"/>
  <c r="AS26" i="1"/>
  <c r="AT26" i="1"/>
  <c r="AU26" i="1"/>
  <c r="AS27" i="1"/>
  <c r="AT27" i="1"/>
  <c r="AU27" i="1"/>
  <c r="AS28" i="1"/>
  <c r="AT28" i="1"/>
  <c r="AU28" i="1"/>
  <c r="AS29" i="1"/>
  <c r="AT29" i="1"/>
  <c r="AU29" i="1"/>
  <c r="AS30" i="1"/>
  <c r="AT30" i="1"/>
  <c r="AU30" i="1"/>
  <c r="AS31" i="1"/>
  <c r="AT31" i="1"/>
  <c r="AU31" i="1"/>
  <c r="AS32" i="1"/>
  <c r="AT32" i="1"/>
  <c r="AU32" i="1"/>
  <c r="AS33" i="1"/>
  <c r="AT33" i="1"/>
  <c r="AU33" i="1"/>
  <c r="AS34" i="1"/>
  <c r="AT34" i="1"/>
  <c r="AU34" i="1"/>
  <c r="AS35" i="1"/>
  <c r="AT35" i="1"/>
  <c r="AU35" i="1"/>
  <c r="AS36" i="1"/>
  <c r="AT36" i="1"/>
  <c r="AU36" i="1"/>
  <c r="AS37" i="1"/>
  <c r="AT37" i="1"/>
  <c r="AU37" i="1"/>
  <c r="AS38" i="1"/>
  <c r="AT38" i="1"/>
  <c r="AU38" i="1"/>
  <c r="AS39" i="1"/>
  <c r="AT39" i="1"/>
  <c r="AU39" i="1"/>
  <c r="AS40" i="1"/>
  <c r="AT40" i="1"/>
  <c r="AU40" i="1"/>
  <c r="AS41" i="1"/>
  <c r="AT41" i="1"/>
  <c r="AU41" i="1"/>
  <c r="AS42" i="1"/>
  <c r="AT42" i="1"/>
  <c r="AU42" i="1"/>
  <c r="AS43" i="1"/>
  <c r="AT43" i="1"/>
  <c r="AU43" i="1"/>
  <c r="AS44" i="1"/>
  <c r="AT44" i="1"/>
  <c r="AU44" i="1"/>
  <c r="AS45" i="1"/>
  <c r="AT45" i="1"/>
  <c r="AU45" i="1"/>
  <c r="AS46" i="1"/>
  <c r="AT46" i="1"/>
  <c r="AU46" i="1"/>
  <c r="AS47" i="1"/>
  <c r="AT47" i="1"/>
  <c r="AU47" i="1"/>
  <c r="AS48" i="1"/>
  <c r="AT48" i="1"/>
  <c r="AU48" i="1"/>
  <c r="AS49" i="1"/>
  <c r="AT49" i="1"/>
  <c r="AU49" i="1"/>
  <c r="AS50" i="1"/>
  <c r="AT50" i="1"/>
  <c r="AU50" i="1"/>
  <c r="AS51" i="1"/>
  <c r="AT51" i="1"/>
  <c r="AU51" i="1"/>
  <c r="AS52" i="1"/>
  <c r="AT52" i="1"/>
  <c r="AU52" i="1"/>
  <c r="AS53" i="1"/>
  <c r="AT53" i="1"/>
  <c r="AU53" i="1"/>
  <c r="AS54" i="1"/>
  <c r="AT54" i="1"/>
  <c r="AU54" i="1"/>
  <c r="AS55" i="1"/>
  <c r="AT55" i="1"/>
  <c r="AU55" i="1"/>
  <c r="AS56" i="1"/>
  <c r="AT56" i="1"/>
  <c r="AU56" i="1"/>
  <c r="AS57" i="1"/>
  <c r="AT57" i="1"/>
  <c r="AU57" i="1"/>
  <c r="AS58" i="1"/>
  <c r="AT58" i="1"/>
  <c r="AU58" i="1"/>
  <c r="AS59" i="1"/>
  <c r="AT59" i="1"/>
  <c r="AU59" i="1"/>
  <c r="AS60" i="1"/>
  <c r="AT60" i="1"/>
  <c r="AU60" i="1"/>
  <c r="AS61" i="1"/>
  <c r="AT61" i="1"/>
  <c r="AU61" i="1"/>
  <c r="AS62" i="1"/>
  <c r="AT62" i="1"/>
  <c r="AU62" i="1"/>
  <c r="AS63" i="1"/>
  <c r="AT63" i="1"/>
  <c r="AU63" i="1"/>
  <c r="AS64" i="1"/>
  <c r="AT64" i="1"/>
  <c r="AU64" i="1"/>
  <c r="AS65" i="1"/>
  <c r="AT65" i="1"/>
  <c r="AU65" i="1"/>
  <c r="AS66" i="1"/>
  <c r="AT66" i="1"/>
  <c r="AU66" i="1"/>
  <c r="AS67" i="1"/>
  <c r="AT67" i="1"/>
  <c r="AU67" i="1"/>
  <c r="AS68" i="1"/>
  <c r="AT68" i="1"/>
  <c r="AU68" i="1"/>
  <c r="AS69" i="1"/>
  <c r="AT69" i="1"/>
  <c r="AU69" i="1"/>
  <c r="AS70" i="1"/>
  <c r="AT70" i="1"/>
  <c r="AU70" i="1"/>
  <c r="AS71" i="1"/>
  <c r="AT71" i="1"/>
  <c r="AU71" i="1"/>
  <c r="AS72" i="1"/>
  <c r="AT72" i="1"/>
  <c r="AU72" i="1"/>
  <c r="AS73" i="1"/>
  <c r="AT73" i="1"/>
  <c r="AU73" i="1"/>
  <c r="AS74" i="1"/>
  <c r="AT74" i="1"/>
  <c r="AU74" i="1"/>
  <c r="AS75" i="1"/>
  <c r="AT75" i="1"/>
  <c r="AU75" i="1"/>
  <c r="AS76" i="1"/>
  <c r="AT76" i="1"/>
  <c r="AU76" i="1"/>
  <c r="AS77" i="1"/>
  <c r="AT77" i="1"/>
  <c r="AU77" i="1"/>
  <c r="AS78" i="1"/>
  <c r="AT78" i="1"/>
  <c r="AU78" i="1"/>
  <c r="AS79" i="1"/>
  <c r="AT79" i="1"/>
  <c r="AU79" i="1"/>
  <c r="AS80" i="1"/>
  <c r="AT80" i="1"/>
  <c r="AU80" i="1"/>
  <c r="AS81" i="1"/>
  <c r="AT81" i="1"/>
  <c r="AU81" i="1"/>
  <c r="AS82" i="1"/>
  <c r="AT82" i="1"/>
  <c r="AU82" i="1"/>
  <c r="AS83" i="1"/>
  <c r="AT83" i="1"/>
  <c r="AU83" i="1"/>
  <c r="AS84" i="1"/>
  <c r="AT84" i="1"/>
  <c r="AU84" i="1"/>
  <c r="AS85" i="1"/>
  <c r="AT85" i="1"/>
  <c r="AU85" i="1"/>
  <c r="AS86" i="1"/>
  <c r="AT86" i="1"/>
  <c r="AU86" i="1"/>
  <c r="AS87" i="1"/>
  <c r="AT87" i="1"/>
  <c r="AU87" i="1"/>
  <c r="AS88" i="1"/>
  <c r="AT88" i="1"/>
  <c r="AU88" i="1"/>
  <c r="AS89" i="1"/>
  <c r="AT89" i="1"/>
  <c r="AU89" i="1"/>
  <c r="AS90" i="1"/>
  <c r="AT90" i="1"/>
  <c r="AU90" i="1"/>
  <c r="AS91" i="1"/>
  <c r="AT91" i="1"/>
  <c r="AU91" i="1"/>
  <c r="AS92" i="1"/>
  <c r="AT92" i="1"/>
  <c r="AU92" i="1"/>
  <c r="AS93" i="1"/>
  <c r="AT93" i="1"/>
  <c r="AU93" i="1"/>
  <c r="AS94" i="1"/>
  <c r="AT94" i="1"/>
  <c r="AU94" i="1"/>
  <c r="AS95" i="1"/>
  <c r="AT95" i="1"/>
  <c r="AU95" i="1"/>
  <c r="AS96" i="1"/>
  <c r="AT96" i="1"/>
  <c r="AU96" i="1"/>
  <c r="AS97" i="1"/>
  <c r="AT97" i="1"/>
  <c r="AU97" i="1"/>
  <c r="AS98" i="1"/>
  <c r="AT98" i="1"/>
  <c r="AU98" i="1"/>
  <c r="AS99" i="1"/>
  <c r="AT99" i="1"/>
  <c r="AU99" i="1"/>
  <c r="AS100" i="1"/>
  <c r="AT100" i="1"/>
  <c r="AU100" i="1"/>
  <c r="AS101" i="1"/>
  <c r="AT101" i="1"/>
  <c r="AU101" i="1"/>
  <c r="AS102" i="1"/>
  <c r="AT102" i="1"/>
  <c r="AU102" i="1"/>
  <c r="AS103" i="1"/>
  <c r="AT103" i="1"/>
  <c r="AU103" i="1"/>
  <c r="AS104" i="1"/>
  <c r="AT104" i="1"/>
  <c r="AU104" i="1"/>
  <c r="AS105" i="1"/>
  <c r="AT105" i="1"/>
  <c r="AU105" i="1"/>
  <c r="AS106" i="1"/>
  <c r="AT106" i="1"/>
  <c r="AU106" i="1"/>
  <c r="AS107" i="1"/>
  <c r="AT107" i="1"/>
  <c r="AU107" i="1"/>
  <c r="AS108" i="1"/>
  <c r="AT108" i="1"/>
  <c r="AU108" i="1"/>
  <c r="AS109" i="1"/>
  <c r="AT109" i="1"/>
  <c r="AU109" i="1"/>
  <c r="AS110" i="1"/>
  <c r="AT110" i="1"/>
  <c r="AU110" i="1"/>
  <c r="AT5" i="1"/>
  <c r="AU5" i="1"/>
  <c r="AS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30" i="1"/>
  <c r="BO32" i="1"/>
  <c r="BO34" i="1"/>
  <c r="BO35" i="1"/>
  <c r="BO36" i="1"/>
  <c r="BO39" i="1"/>
  <c r="BO41" i="1"/>
  <c r="BO50" i="1"/>
  <c r="BO57" i="1"/>
  <c r="BO63" i="1"/>
  <c r="BO65" i="1"/>
  <c r="BO72" i="1"/>
  <c r="BO77" i="1"/>
  <c r="BO80" i="1"/>
  <c r="BO85" i="1"/>
  <c r="BO86" i="1"/>
  <c r="BO87" i="1"/>
  <c r="BO89" i="1"/>
  <c r="BO93" i="1"/>
  <c r="BO98" i="1"/>
  <c r="BO99" i="1"/>
  <c r="BO100" i="1"/>
  <c r="BO102" i="1"/>
  <c r="BO106" i="1"/>
  <c r="BO5" i="1"/>
  <c r="BR5" i="1"/>
  <c r="AR5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AV29" i="1"/>
  <c r="AW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AV31" i="1"/>
  <c r="AW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AV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AV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AV38" i="1"/>
  <c r="BE38" i="1"/>
  <c r="BF38" i="1"/>
  <c r="BG38" i="1"/>
  <c r="BH38" i="1"/>
  <c r="BI38" i="1"/>
  <c r="BJ38" i="1"/>
  <c r="BK38" i="1"/>
  <c r="BL38" i="1"/>
  <c r="BM38" i="1"/>
  <c r="BN38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AV40" i="1"/>
  <c r="BE40" i="1"/>
  <c r="BF40" i="1"/>
  <c r="BG40" i="1"/>
  <c r="BH40" i="1"/>
  <c r="BI40" i="1"/>
  <c r="BJ40" i="1"/>
  <c r="BK40" i="1"/>
  <c r="BL40" i="1"/>
  <c r="BM40" i="1"/>
  <c r="BN40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AV42" i="1"/>
  <c r="BF42" i="1"/>
  <c r="BG42" i="1"/>
  <c r="BH42" i="1"/>
  <c r="BI42" i="1"/>
  <c r="BJ42" i="1"/>
  <c r="BK42" i="1"/>
  <c r="BL42" i="1"/>
  <c r="BM42" i="1"/>
  <c r="BN42" i="1"/>
  <c r="AV43" i="1"/>
  <c r="BG43" i="1"/>
  <c r="BH43" i="1"/>
  <c r="BI43" i="1"/>
  <c r="BJ43" i="1"/>
  <c r="BK43" i="1"/>
  <c r="BL43" i="1"/>
  <c r="BM43" i="1"/>
  <c r="BN43" i="1"/>
  <c r="AV44" i="1"/>
  <c r="BG44" i="1"/>
  <c r="BH44" i="1"/>
  <c r="BI44" i="1"/>
  <c r="BJ44" i="1"/>
  <c r="BK44" i="1"/>
  <c r="BL44" i="1"/>
  <c r="BM44" i="1"/>
  <c r="BN44" i="1"/>
  <c r="AV45" i="1"/>
  <c r="BF45" i="1"/>
  <c r="BG45" i="1"/>
  <c r="BH45" i="1"/>
  <c r="BI45" i="1"/>
  <c r="BJ45" i="1"/>
  <c r="BK45" i="1"/>
  <c r="BL45" i="1"/>
  <c r="BM45" i="1"/>
  <c r="BN45" i="1"/>
  <c r="AV46" i="1"/>
  <c r="BF46" i="1"/>
  <c r="BG46" i="1"/>
  <c r="BH46" i="1"/>
  <c r="BI46" i="1"/>
  <c r="BJ46" i="1"/>
  <c r="BK46" i="1"/>
  <c r="BL46" i="1"/>
  <c r="BM46" i="1"/>
  <c r="BN46" i="1"/>
  <c r="AV47" i="1"/>
  <c r="BE47" i="1"/>
  <c r="BF47" i="1"/>
  <c r="BG47" i="1"/>
  <c r="BH47" i="1"/>
  <c r="BI47" i="1"/>
  <c r="BJ47" i="1"/>
  <c r="BK47" i="1"/>
  <c r="BL47" i="1"/>
  <c r="BM47" i="1"/>
  <c r="BN47" i="1"/>
  <c r="AV48" i="1"/>
  <c r="BE48" i="1"/>
  <c r="BF48" i="1"/>
  <c r="BG48" i="1"/>
  <c r="BH48" i="1"/>
  <c r="BI48" i="1"/>
  <c r="BJ48" i="1"/>
  <c r="BK48" i="1"/>
  <c r="BL48" i="1"/>
  <c r="BM48" i="1"/>
  <c r="BN48" i="1"/>
  <c r="AV49" i="1"/>
  <c r="BD49" i="1"/>
  <c r="BE49" i="1"/>
  <c r="BF49" i="1"/>
  <c r="BG49" i="1"/>
  <c r="BH49" i="1"/>
  <c r="BI49" i="1"/>
  <c r="BJ49" i="1"/>
  <c r="BK49" i="1"/>
  <c r="BL49" i="1"/>
  <c r="BM49" i="1"/>
  <c r="BN49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AV51" i="1"/>
  <c r="BD51" i="1"/>
  <c r="BE51" i="1"/>
  <c r="BF51" i="1"/>
  <c r="BG51" i="1"/>
  <c r="BH51" i="1"/>
  <c r="BI51" i="1"/>
  <c r="BJ51" i="1"/>
  <c r="BK51" i="1"/>
  <c r="BL51" i="1"/>
  <c r="BM51" i="1"/>
  <c r="BN51" i="1"/>
  <c r="AV52" i="1"/>
  <c r="BD52" i="1"/>
  <c r="BE52" i="1"/>
  <c r="BF52" i="1"/>
  <c r="BG52" i="1"/>
  <c r="BH52" i="1"/>
  <c r="BI52" i="1"/>
  <c r="BJ52" i="1"/>
  <c r="BK52" i="1"/>
  <c r="BL52" i="1"/>
  <c r="BM52" i="1"/>
  <c r="BN52" i="1"/>
  <c r="AV53" i="1"/>
  <c r="BD53" i="1"/>
  <c r="BE53" i="1"/>
  <c r="BF53" i="1"/>
  <c r="BG53" i="1"/>
  <c r="BH53" i="1"/>
  <c r="BI53" i="1"/>
  <c r="BJ53" i="1"/>
  <c r="BK53" i="1"/>
  <c r="BL53" i="1"/>
  <c r="BM53" i="1"/>
  <c r="BN53" i="1"/>
  <c r="AV54" i="1"/>
  <c r="BD54" i="1"/>
  <c r="BE54" i="1"/>
  <c r="BF54" i="1"/>
  <c r="BG54" i="1"/>
  <c r="BH54" i="1"/>
  <c r="BI54" i="1"/>
  <c r="BJ54" i="1"/>
  <c r="BK54" i="1"/>
  <c r="BL54" i="1"/>
  <c r="BM54" i="1"/>
  <c r="BN54" i="1"/>
  <c r="AV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AV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AV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AV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AV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AV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AV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AV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AV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AV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AV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AV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AV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AV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AV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AV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AV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AV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AV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AV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AV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AV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AV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AV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AV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AV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AV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AV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AV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AV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AV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AV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AV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AV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AV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AV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AV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AV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AV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AV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AV5" i="1"/>
  <c r="AW3" i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Y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X30" i="1"/>
  <c r="Y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X32" i="1"/>
  <c r="Y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X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G38" i="1"/>
  <c r="AH38" i="1"/>
  <c r="AI38" i="1"/>
  <c r="AJ38" i="1"/>
  <c r="AK38" i="1"/>
  <c r="AL38" i="1"/>
  <c r="AM38" i="1"/>
  <c r="AN38" i="1"/>
  <c r="AO38" i="1"/>
  <c r="AP38" i="1"/>
  <c r="X39" i="1"/>
  <c r="AG39" i="1"/>
  <c r="AH39" i="1"/>
  <c r="AI39" i="1"/>
  <c r="AJ39" i="1"/>
  <c r="AK39" i="1"/>
  <c r="AL39" i="1"/>
  <c r="AM39" i="1"/>
  <c r="AN39" i="1"/>
  <c r="AO39" i="1"/>
  <c r="AP39" i="1"/>
  <c r="AG40" i="1"/>
  <c r="AH40" i="1"/>
  <c r="AI40" i="1"/>
  <c r="AJ40" i="1"/>
  <c r="AK40" i="1"/>
  <c r="AL40" i="1"/>
  <c r="AM40" i="1"/>
  <c r="AN40" i="1"/>
  <c r="AO40" i="1"/>
  <c r="AP40" i="1"/>
  <c r="X41" i="1"/>
  <c r="AG41" i="1"/>
  <c r="AH41" i="1"/>
  <c r="AI41" i="1"/>
  <c r="AJ41" i="1"/>
  <c r="AK41" i="1"/>
  <c r="AL41" i="1"/>
  <c r="AM41" i="1"/>
  <c r="AN41" i="1"/>
  <c r="AO41" i="1"/>
  <c r="AP41" i="1"/>
  <c r="AH42" i="1"/>
  <c r="AI42" i="1"/>
  <c r="AJ42" i="1"/>
  <c r="AK42" i="1"/>
  <c r="AL42" i="1"/>
  <c r="AM42" i="1"/>
  <c r="AN42" i="1"/>
  <c r="AO42" i="1"/>
  <c r="AP42" i="1"/>
  <c r="AI43" i="1"/>
  <c r="AJ43" i="1"/>
  <c r="AK43" i="1"/>
  <c r="AL43" i="1"/>
  <c r="AM43" i="1"/>
  <c r="AN43" i="1"/>
  <c r="AO43" i="1"/>
  <c r="AP43" i="1"/>
  <c r="AI44" i="1"/>
  <c r="AJ44" i="1"/>
  <c r="AK44" i="1"/>
  <c r="AL44" i="1"/>
  <c r="AM44" i="1"/>
  <c r="AN44" i="1"/>
  <c r="AO44" i="1"/>
  <c r="AP44" i="1"/>
  <c r="AI45" i="1"/>
  <c r="AJ45" i="1"/>
  <c r="AK45" i="1"/>
  <c r="AL45" i="1"/>
  <c r="AM45" i="1"/>
  <c r="AN45" i="1"/>
  <c r="AO45" i="1"/>
  <c r="AP45" i="1"/>
  <c r="AH46" i="1"/>
  <c r="AI46" i="1"/>
  <c r="AJ46" i="1"/>
  <c r="AK46" i="1"/>
  <c r="AL46" i="1"/>
  <c r="AM46" i="1"/>
  <c r="AN46" i="1"/>
  <c r="AO46" i="1"/>
  <c r="AP46" i="1"/>
  <c r="AH47" i="1"/>
  <c r="AI47" i="1"/>
  <c r="AJ47" i="1"/>
  <c r="AK47" i="1"/>
  <c r="AL47" i="1"/>
  <c r="AM47" i="1"/>
  <c r="AN47" i="1"/>
  <c r="AO47" i="1"/>
  <c r="AP47" i="1"/>
  <c r="AG48" i="1"/>
  <c r="AH48" i="1"/>
  <c r="AI48" i="1"/>
  <c r="AJ48" i="1"/>
  <c r="AK48" i="1"/>
  <c r="AL48" i="1"/>
  <c r="AM48" i="1"/>
  <c r="AN48" i="1"/>
  <c r="AO48" i="1"/>
  <c r="AP48" i="1"/>
  <c r="AG49" i="1"/>
  <c r="AH49" i="1"/>
  <c r="AI49" i="1"/>
  <c r="AJ49" i="1"/>
  <c r="AK49" i="1"/>
  <c r="AL49" i="1"/>
  <c r="AM49" i="1"/>
  <c r="AN49" i="1"/>
  <c r="AO49" i="1"/>
  <c r="AP49" i="1"/>
  <c r="X50" i="1"/>
  <c r="AF50" i="1"/>
  <c r="AG50" i="1"/>
  <c r="AH50" i="1"/>
  <c r="AI50" i="1"/>
  <c r="AJ50" i="1"/>
  <c r="AK50" i="1"/>
  <c r="AL50" i="1"/>
  <c r="AM50" i="1"/>
  <c r="AN50" i="1"/>
  <c r="AO50" i="1"/>
  <c r="AP50" i="1"/>
  <c r="AF51" i="1"/>
  <c r="AG51" i="1"/>
  <c r="AH51" i="1"/>
  <c r="AI51" i="1"/>
  <c r="AJ51" i="1"/>
  <c r="AK51" i="1"/>
  <c r="AL51" i="1"/>
  <c r="AM51" i="1"/>
  <c r="AN51" i="1"/>
  <c r="AO51" i="1"/>
  <c r="AP51" i="1"/>
  <c r="AF52" i="1"/>
  <c r="AG52" i="1"/>
  <c r="AH52" i="1"/>
  <c r="AI52" i="1"/>
  <c r="AJ52" i="1"/>
  <c r="AK52" i="1"/>
  <c r="AL52" i="1"/>
  <c r="AM52" i="1"/>
  <c r="AN52" i="1"/>
  <c r="AO52" i="1"/>
  <c r="AP52" i="1"/>
  <c r="AF53" i="1"/>
  <c r="AG53" i="1"/>
  <c r="AH53" i="1"/>
  <c r="AI53" i="1"/>
  <c r="AJ53" i="1"/>
  <c r="AK53" i="1"/>
  <c r="AL53" i="1"/>
  <c r="AM53" i="1"/>
  <c r="AN53" i="1"/>
  <c r="AO53" i="1"/>
  <c r="AP53" i="1"/>
  <c r="AF54" i="1"/>
  <c r="AG54" i="1"/>
  <c r="AH54" i="1"/>
  <c r="AI54" i="1"/>
  <c r="AJ54" i="1"/>
  <c r="AK54" i="1"/>
  <c r="AL54" i="1"/>
  <c r="AM54" i="1"/>
  <c r="AN54" i="1"/>
  <c r="AO54" i="1"/>
  <c r="AP54" i="1"/>
  <c r="AF55" i="1"/>
  <c r="AG55" i="1"/>
  <c r="AH55" i="1"/>
  <c r="AI55" i="1"/>
  <c r="AJ55" i="1"/>
  <c r="AK55" i="1"/>
  <c r="AL55" i="1"/>
  <c r="AM55" i="1"/>
  <c r="AN55" i="1"/>
  <c r="AO55" i="1"/>
  <c r="AP55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X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X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X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X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X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X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X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X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X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X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X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X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X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X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X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X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X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X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X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X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X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X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X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X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X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X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X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X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X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X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X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X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X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X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X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X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C6" i="1"/>
  <c r="C7" i="1" s="1"/>
  <c r="AR7" i="1" s="1"/>
  <c r="Y3" i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H66" i="1"/>
  <c r="AB66" i="1" s="1"/>
  <c r="N43" i="1"/>
  <c r="BF43" i="1" s="1"/>
  <c r="M42" i="1"/>
  <c r="AG42" i="1" s="1"/>
  <c r="L38" i="1"/>
  <c r="AF38" i="1" s="1"/>
  <c r="K38" i="1"/>
  <c r="BC38" i="1" s="1"/>
  <c r="J38" i="1"/>
  <c r="BB38" i="1" s="1"/>
  <c r="I37" i="1"/>
  <c r="AC37" i="1" s="1"/>
  <c r="H33" i="1"/>
  <c r="AB34" i="1" s="1"/>
  <c r="G31" i="1"/>
  <c r="AA32" i="1" s="1"/>
  <c r="F29" i="1"/>
  <c r="X29" i="1" s="1"/>
  <c r="E101" i="1"/>
  <c r="Y101" i="1" s="1"/>
  <c r="E88" i="1"/>
  <c r="Y88" i="1" s="1"/>
  <c r="E33" i="1"/>
  <c r="AW33" i="1" s="1"/>
  <c r="BF119" i="2" l="1"/>
  <c r="BH120" i="2"/>
  <c r="BH121" i="2" s="1"/>
  <c r="BH122" i="2" s="1"/>
  <c r="BH123" i="2" s="1"/>
  <c r="BH124" i="2" s="1"/>
  <c r="BH125" i="2" s="1"/>
  <c r="BH126" i="2" s="1"/>
  <c r="BH127" i="2" s="1"/>
  <c r="BH128" i="2" s="1"/>
  <c r="AP127" i="2"/>
  <c r="AT123" i="2"/>
  <c r="AP120" i="2"/>
  <c r="AS121" i="2"/>
  <c r="AZ47" i="2"/>
  <c r="AU38" i="2"/>
  <c r="AT36" i="2"/>
  <c r="AT104" i="2"/>
  <c r="AT109" i="2"/>
  <c r="AS18" i="2"/>
  <c r="AT112" i="2"/>
  <c r="AT96" i="2"/>
  <c r="AT80" i="2"/>
  <c r="AZ46" i="2"/>
  <c r="AT118" i="2"/>
  <c r="AT103" i="2"/>
  <c r="AT87" i="2"/>
  <c r="AV73" i="2"/>
  <c r="AZ60" i="2"/>
  <c r="BA49" i="2"/>
  <c r="AV40" i="2"/>
  <c r="B15" i="2"/>
  <c r="B16" i="2" s="1"/>
  <c r="B17" i="2" s="1"/>
  <c r="B18" i="2" s="1"/>
  <c r="B19" i="2" s="1"/>
  <c r="B20" i="2" s="1"/>
  <c r="AT113" i="2"/>
  <c r="AT105" i="2"/>
  <c r="AT90" i="2"/>
  <c r="AS85" i="2"/>
  <c r="AY67" i="2"/>
  <c r="AY58" i="2"/>
  <c r="AZ56" i="2"/>
  <c r="AT99" i="2"/>
  <c r="AT91" i="2"/>
  <c r="AV77" i="2"/>
  <c r="BA54" i="2"/>
  <c r="BB51" i="2"/>
  <c r="AW42" i="2"/>
  <c r="AU82" i="2"/>
  <c r="AX65" i="2"/>
  <c r="AT117" i="2"/>
  <c r="AY62" i="2"/>
  <c r="AT29" i="2"/>
  <c r="AR15" i="2"/>
  <c r="AT26" i="2"/>
  <c r="AW69" i="2"/>
  <c r="AT30" i="2"/>
  <c r="AT22" i="2"/>
  <c r="AT25" i="2"/>
  <c r="BB52" i="2"/>
  <c r="AS17" i="2"/>
  <c r="AT79" i="2"/>
  <c r="AS34" i="2"/>
  <c r="AT31" i="2"/>
  <c r="AT116" i="2"/>
  <c r="AT100" i="2"/>
  <c r="AW75" i="2"/>
  <c r="AX64" i="2"/>
  <c r="AP105" i="2"/>
  <c r="AP73" i="2"/>
  <c r="AP41" i="2"/>
  <c r="AP115" i="2"/>
  <c r="AP107" i="2"/>
  <c r="AP99" i="2"/>
  <c r="AP91" i="2"/>
  <c r="AP72" i="2"/>
  <c r="AP18" i="2"/>
  <c r="AP15" i="2"/>
  <c r="AP112" i="2"/>
  <c r="AP104" i="2"/>
  <c r="AP96" i="2"/>
  <c r="AP88" i="2"/>
  <c r="AP109" i="2"/>
  <c r="AP17" i="2"/>
  <c r="AP114" i="2"/>
  <c r="AP106" i="2"/>
  <c r="AP98" i="2"/>
  <c r="AP90" i="2"/>
  <c r="AP82" i="2"/>
  <c r="AP74" i="2"/>
  <c r="AP14" i="2"/>
  <c r="AP111" i="2"/>
  <c r="AP103" i="2"/>
  <c r="AP95" i="2"/>
  <c r="AP87" i="2"/>
  <c r="AP79" i="2"/>
  <c r="Z12" i="2"/>
  <c r="AP101" i="2"/>
  <c r="AP116" i="2"/>
  <c r="AP108" i="2"/>
  <c r="AP100" i="2"/>
  <c r="AP92" i="2"/>
  <c r="AP117" i="2"/>
  <c r="AP13" i="2"/>
  <c r="AP16" i="2"/>
  <c r="AP113" i="2"/>
  <c r="AP97" i="2"/>
  <c r="AP89" i="2"/>
  <c r="AP81" i="2"/>
  <c r="AP65" i="2"/>
  <c r="AP57" i="2"/>
  <c r="AP49" i="2"/>
  <c r="AP118" i="2"/>
  <c r="AP110" i="2"/>
  <c r="AP102" i="2"/>
  <c r="AP94" i="2"/>
  <c r="AP86" i="2"/>
  <c r="AP78" i="2"/>
  <c r="AP70" i="2"/>
  <c r="AP62" i="2"/>
  <c r="AP54" i="2"/>
  <c r="AP46" i="2"/>
  <c r="AP71" i="2"/>
  <c r="AP63" i="2"/>
  <c r="AP55" i="2"/>
  <c r="AP47" i="2"/>
  <c r="AP39" i="2"/>
  <c r="AP31" i="2"/>
  <c r="AP40" i="2"/>
  <c r="AP84" i="2"/>
  <c r="AP76" i="2"/>
  <c r="AP68" i="2"/>
  <c r="AP60" i="2"/>
  <c r="AP52" i="2"/>
  <c r="AP44" i="2"/>
  <c r="AP36" i="2"/>
  <c r="AP28" i="2"/>
  <c r="AP20" i="2"/>
  <c r="AP33" i="2"/>
  <c r="AP64" i="2"/>
  <c r="AP32" i="2"/>
  <c r="AP38" i="2"/>
  <c r="AP30" i="2"/>
  <c r="AP19" i="2"/>
  <c r="AP25" i="2"/>
  <c r="AP83" i="2"/>
  <c r="AP75" i="2"/>
  <c r="AP67" i="2"/>
  <c r="AP59" i="2"/>
  <c r="AP51" i="2"/>
  <c r="AP56" i="2"/>
  <c r="AP22" i="2"/>
  <c r="AP93" i="2"/>
  <c r="AP85" i="2"/>
  <c r="AP77" i="2"/>
  <c r="AP69" i="2"/>
  <c r="AP61" i="2"/>
  <c r="AP53" i="2"/>
  <c r="AP45" i="2"/>
  <c r="AP37" i="2"/>
  <c r="AP29" i="2"/>
  <c r="AP21" i="2"/>
  <c r="AP80" i="2"/>
  <c r="AP48" i="2"/>
  <c r="AP24" i="2"/>
  <c r="AP23" i="2"/>
  <c r="AP43" i="2"/>
  <c r="AP35" i="2"/>
  <c r="AP27" i="2"/>
  <c r="AP66" i="2"/>
  <c r="AP58" i="2"/>
  <c r="AP50" i="2"/>
  <c r="AP42" i="2"/>
  <c r="AP34" i="2"/>
  <c r="AP26" i="2"/>
  <c r="BO88" i="1"/>
  <c r="BO101" i="1"/>
  <c r="BO29" i="1"/>
  <c r="BQ4" i="1"/>
  <c r="BR4" i="1" s="1"/>
  <c r="AR6" i="1"/>
  <c r="AX29" i="1"/>
  <c r="AW88" i="1"/>
  <c r="AW101" i="1"/>
  <c r="AY31" i="1"/>
  <c r="BE42" i="1"/>
  <c r="AZ33" i="1"/>
  <c r="BA37" i="1"/>
  <c r="AZ66" i="1"/>
  <c r="BD38" i="1"/>
  <c r="J40" i="1"/>
  <c r="BB40" i="1" s="1"/>
  <c r="AD38" i="1"/>
  <c r="AD39" i="1"/>
  <c r="Y34" i="1"/>
  <c r="K40" i="1"/>
  <c r="BC40" i="1" s="1"/>
  <c r="AE38" i="1"/>
  <c r="AE39" i="1"/>
  <c r="Y31" i="1"/>
  <c r="AF39" i="1"/>
  <c r="Y89" i="1"/>
  <c r="Z30" i="1"/>
  <c r="Y102" i="1"/>
  <c r="AH43" i="1"/>
  <c r="Z29" i="1"/>
  <c r="BR6" i="1"/>
  <c r="AA31" i="1"/>
  <c r="AB33" i="1"/>
  <c r="U4" i="1"/>
  <c r="V4" i="1" s="1"/>
  <c r="C8" i="1"/>
  <c r="AR8" i="1" s="1"/>
  <c r="BR7" i="1"/>
  <c r="H37" i="1"/>
  <c r="AZ37" i="1" s="1"/>
  <c r="N44" i="1"/>
  <c r="BF44" i="1" s="1"/>
  <c r="H67" i="1"/>
  <c r="AZ67" i="1" s="1"/>
  <c r="G33" i="1"/>
  <c r="I38" i="1"/>
  <c r="BA38" i="1" s="1"/>
  <c r="E37" i="1"/>
  <c r="E103" i="1"/>
  <c r="BO103" i="1" s="1"/>
  <c r="L40" i="1"/>
  <c r="BD40" i="1" s="1"/>
  <c r="M43" i="1"/>
  <c r="BE43" i="1" s="1"/>
  <c r="F31" i="1"/>
  <c r="BO31" i="1" s="1"/>
  <c r="E90" i="1"/>
  <c r="BO90" i="1" s="1"/>
  <c r="BG120" i="2" l="1"/>
  <c r="BG121" i="2" s="1"/>
  <c r="BG122" i="2" s="1"/>
  <c r="BG123" i="2" s="1"/>
  <c r="BG124" i="2" s="1"/>
  <c r="BG125" i="2" s="1"/>
  <c r="BG126" i="2" s="1"/>
  <c r="BG127" i="2" s="1"/>
  <c r="BG128" i="2" s="1"/>
  <c r="BE119" i="2"/>
  <c r="BF120" i="2"/>
  <c r="BF121" i="2" s="1"/>
  <c r="BF122" i="2" s="1"/>
  <c r="BF123" i="2" s="1"/>
  <c r="BF124" i="2" s="1"/>
  <c r="BF125" i="2" s="1"/>
  <c r="BF126" i="2" s="1"/>
  <c r="BF127" i="2" s="1"/>
  <c r="BF128" i="2" s="1"/>
  <c r="CE16" i="2"/>
  <c r="CE15" i="2"/>
  <c r="CE17" i="2"/>
  <c r="CE18" i="2"/>
  <c r="CE19" i="2"/>
  <c r="B21" i="2"/>
  <c r="CE20" i="2"/>
  <c r="AP12" i="2"/>
  <c r="AA12" i="2"/>
  <c r="BT4" i="1"/>
  <c r="BU4" i="1" s="1"/>
  <c r="AW90" i="1"/>
  <c r="AW103" i="1"/>
  <c r="AX31" i="1"/>
  <c r="AW37" i="1"/>
  <c r="Y33" i="1"/>
  <c r="AY33" i="1"/>
  <c r="J42" i="1"/>
  <c r="BB42" i="1" s="1"/>
  <c r="AD41" i="1"/>
  <c r="AD40" i="1"/>
  <c r="AH45" i="1"/>
  <c r="AH44" i="1"/>
  <c r="K42" i="1"/>
  <c r="BC42" i="1" s="1"/>
  <c r="AE40" i="1"/>
  <c r="AE41" i="1"/>
  <c r="AF40" i="1"/>
  <c r="AF41" i="1"/>
  <c r="Y103" i="1"/>
  <c r="AC38" i="1"/>
  <c r="AC39" i="1"/>
  <c r="Y90" i="1"/>
  <c r="AA34" i="1"/>
  <c r="AA33" i="1"/>
  <c r="AG43" i="1"/>
  <c r="AB37" i="1"/>
  <c r="Z31" i="1"/>
  <c r="Z32" i="1"/>
  <c r="X31" i="1"/>
  <c r="AB67" i="1"/>
  <c r="C9" i="1"/>
  <c r="AR9" i="1" s="1"/>
  <c r="BR8" i="1"/>
  <c r="E104" i="1"/>
  <c r="BO104" i="1" s="1"/>
  <c r="G37" i="1"/>
  <c r="M44" i="1"/>
  <c r="BE44" i="1" s="1"/>
  <c r="E38" i="1"/>
  <c r="H38" i="1"/>
  <c r="AZ38" i="1" s="1"/>
  <c r="I40" i="1"/>
  <c r="BA40" i="1" s="1"/>
  <c r="L42" i="1"/>
  <c r="BD42" i="1" s="1"/>
  <c r="H68" i="1"/>
  <c r="AZ68" i="1" s="1"/>
  <c r="E91" i="1"/>
  <c r="BO91" i="1" s="1"/>
  <c r="F33" i="1"/>
  <c r="BO33" i="1" s="1"/>
  <c r="BD119" i="2" l="1"/>
  <c r="BE120" i="2"/>
  <c r="BE121" i="2" s="1"/>
  <c r="BE122" i="2" s="1"/>
  <c r="BE123" i="2" s="1"/>
  <c r="BE124" i="2" s="1"/>
  <c r="BE125" i="2" s="1"/>
  <c r="BE126" i="2" s="1"/>
  <c r="BE127" i="2" s="1"/>
  <c r="BE128" i="2" s="1"/>
  <c r="B22" i="2"/>
  <c r="CE21" i="2"/>
  <c r="AB12" i="2"/>
  <c r="AW91" i="1"/>
  <c r="AW104" i="1"/>
  <c r="AW38" i="1"/>
  <c r="AX33" i="1"/>
  <c r="Y37" i="1"/>
  <c r="AY37" i="1"/>
  <c r="AB68" i="1"/>
  <c r="K43" i="1"/>
  <c r="BC43" i="1" s="1"/>
  <c r="AE42" i="1"/>
  <c r="Y91" i="1"/>
  <c r="AF42" i="1"/>
  <c r="AB39" i="1"/>
  <c r="AB38" i="1"/>
  <c r="Y104" i="1"/>
  <c r="Y39" i="1"/>
  <c r="AC41" i="1"/>
  <c r="AC40" i="1"/>
  <c r="AG44" i="1"/>
  <c r="Z34" i="1"/>
  <c r="X33" i="1"/>
  <c r="Z33" i="1"/>
  <c r="AA37" i="1"/>
  <c r="J43" i="1"/>
  <c r="BB43" i="1" s="1"/>
  <c r="AD42" i="1"/>
  <c r="E105" i="1"/>
  <c r="BO105" i="1" s="1"/>
  <c r="C10" i="1"/>
  <c r="AR10" i="1" s="1"/>
  <c r="BR9" i="1"/>
  <c r="M45" i="1"/>
  <c r="BE45" i="1" s="1"/>
  <c r="H40" i="1"/>
  <c r="AZ40" i="1" s="1"/>
  <c r="G38" i="1"/>
  <c r="AY38" i="1" s="1"/>
  <c r="H69" i="1"/>
  <c r="L43" i="1"/>
  <c r="BD43" i="1" s="1"/>
  <c r="F37" i="1"/>
  <c r="BO37" i="1" s="1"/>
  <c r="I42" i="1"/>
  <c r="BA42" i="1" s="1"/>
  <c r="E40" i="1"/>
  <c r="E92" i="1"/>
  <c r="BO92" i="1" s="1"/>
  <c r="BC119" i="2" l="1"/>
  <c r="BD120" i="2"/>
  <c r="BD121" i="2" s="1"/>
  <c r="BD122" i="2" s="1"/>
  <c r="BD123" i="2" s="1"/>
  <c r="BD124" i="2" s="1"/>
  <c r="BD125" i="2" s="1"/>
  <c r="BD126" i="2" s="1"/>
  <c r="BD127" i="2" s="1"/>
  <c r="BD128" i="2" s="1"/>
  <c r="B23" i="2"/>
  <c r="CE22" i="2"/>
  <c r="AC12" i="2"/>
  <c r="AW105" i="1"/>
  <c r="AX37" i="1"/>
  <c r="AW92" i="1"/>
  <c r="AW40" i="1"/>
  <c r="AB69" i="1"/>
  <c r="AZ69" i="1"/>
  <c r="Y38" i="1"/>
  <c r="Y41" i="1"/>
  <c r="Y105" i="1"/>
  <c r="Y106" i="1"/>
  <c r="X37" i="1"/>
  <c r="Z37" i="1"/>
  <c r="AF43" i="1"/>
  <c r="J44" i="1"/>
  <c r="BB44" i="1" s="1"/>
  <c r="AD43" i="1"/>
  <c r="AC42" i="1"/>
  <c r="K44" i="1"/>
  <c r="BC44" i="1" s="1"/>
  <c r="AE43" i="1"/>
  <c r="AA39" i="1"/>
  <c r="AA38" i="1"/>
  <c r="E107" i="1"/>
  <c r="AB41" i="1"/>
  <c r="AB40" i="1"/>
  <c r="Y93" i="1"/>
  <c r="Y92" i="1"/>
  <c r="AG45" i="1"/>
  <c r="C11" i="1"/>
  <c r="AR11" i="1" s="1"/>
  <c r="BR10" i="1"/>
  <c r="H42" i="1"/>
  <c r="AZ42" i="1" s="1"/>
  <c r="E42" i="1"/>
  <c r="G40" i="1"/>
  <c r="AY40" i="1" s="1"/>
  <c r="I43" i="1"/>
  <c r="BA43" i="1" s="1"/>
  <c r="M46" i="1"/>
  <c r="BE46" i="1" s="1"/>
  <c r="F38" i="1"/>
  <c r="BO38" i="1" s="1"/>
  <c r="L44" i="1"/>
  <c r="BD44" i="1" s="1"/>
  <c r="E94" i="1"/>
  <c r="BO94" i="1" s="1"/>
  <c r="BB119" i="2" l="1"/>
  <c r="BC120" i="2"/>
  <c r="BC121" i="2" s="1"/>
  <c r="BC122" i="2" s="1"/>
  <c r="BC123" i="2" s="1"/>
  <c r="BC124" i="2" s="1"/>
  <c r="BC125" i="2" s="1"/>
  <c r="BC126" i="2" s="1"/>
  <c r="BC127" i="2" s="1"/>
  <c r="BC128" i="2" s="1"/>
  <c r="B24" i="2"/>
  <c r="CE23" i="2"/>
  <c r="AD12" i="2"/>
  <c r="BO107" i="1"/>
  <c r="AX38" i="1"/>
  <c r="AW42" i="1"/>
  <c r="AW94" i="1"/>
  <c r="E108" i="1"/>
  <c r="BO108" i="1" s="1"/>
  <c r="AW107" i="1"/>
  <c r="Y107" i="1"/>
  <c r="AF44" i="1"/>
  <c r="Z39" i="1"/>
  <c r="X38" i="1"/>
  <c r="Z38" i="1"/>
  <c r="Y94" i="1"/>
  <c r="AG46" i="1"/>
  <c r="AG47" i="1"/>
  <c r="AA40" i="1"/>
  <c r="AA41" i="1"/>
  <c r="AB42" i="1"/>
  <c r="J45" i="1"/>
  <c r="BB45" i="1" s="1"/>
  <c r="AD44" i="1"/>
  <c r="AC43" i="1"/>
  <c r="K45" i="1"/>
  <c r="BC45" i="1" s="1"/>
  <c r="AE44" i="1"/>
  <c r="Y40" i="1"/>
  <c r="C12" i="1"/>
  <c r="AR12" i="1" s="1"/>
  <c r="BR11" i="1"/>
  <c r="F40" i="1"/>
  <c r="BO40" i="1" s="1"/>
  <c r="G42" i="1"/>
  <c r="H43" i="1"/>
  <c r="AZ43" i="1" s="1"/>
  <c r="L45" i="1"/>
  <c r="BD45" i="1" s="1"/>
  <c r="I44" i="1"/>
  <c r="BA44" i="1" s="1"/>
  <c r="E43" i="1"/>
  <c r="E95" i="1"/>
  <c r="BO95" i="1" s="1"/>
  <c r="E109" i="1"/>
  <c r="BO109" i="1" s="1"/>
  <c r="BA119" i="2" l="1"/>
  <c r="BB120" i="2"/>
  <c r="BB121" i="2" s="1"/>
  <c r="BB122" i="2" s="1"/>
  <c r="BB123" i="2" s="1"/>
  <c r="BB124" i="2" s="1"/>
  <c r="BB125" i="2" s="1"/>
  <c r="BB126" i="2" s="1"/>
  <c r="BB127" i="2" s="1"/>
  <c r="BB128" i="2" s="1"/>
  <c r="B25" i="2"/>
  <c r="CE24" i="2"/>
  <c r="AE12" i="2"/>
  <c r="AX40" i="1"/>
  <c r="AW108" i="1"/>
  <c r="AW109" i="1"/>
  <c r="AW95" i="1"/>
  <c r="Y108" i="1"/>
  <c r="AW43" i="1"/>
  <c r="Y42" i="1"/>
  <c r="AY42" i="1"/>
  <c r="Y109" i="1"/>
  <c r="J46" i="1"/>
  <c r="BB46" i="1" s="1"/>
  <c r="AD45" i="1"/>
  <c r="Y95" i="1"/>
  <c r="AC44" i="1"/>
  <c r="AF45" i="1"/>
  <c r="AB43" i="1"/>
  <c r="K46" i="1"/>
  <c r="BC46" i="1" s="1"/>
  <c r="AE45" i="1"/>
  <c r="AA42" i="1"/>
  <c r="X40" i="1"/>
  <c r="Z40" i="1"/>
  <c r="Z41" i="1"/>
  <c r="C13" i="1"/>
  <c r="AR13" i="1" s="1"/>
  <c r="BR12" i="1"/>
  <c r="F42" i="1"/>
  <c r="BO42" i="1" s="1"/>
  <c r="L46" i="1"/>
  <c r="BD46" i="1" s="1"/>
  <c r="H44" i="1"/>
  <c r="AZ44" i="1" s="1"/>
  <c r="E44" i="1"/>
  <c r="I45" i="1"/>
  <c r="BA45" i="1" s="1"/>
  <c r="G43" i="1"/>
  <c r="AY43" i="1" s="1"/>
  <c r="E96" i="1"/>
  <c r="BO96" i="1" s="1"/>
  <c r="E110" i="1"/>
  <c r="BO110" i="1" s="1"/>
  <c r="AZ119" i="2" l="1"/>
  <c r="BA120" i="2"/>
  <c r="BA121" i="2" s="1"/>
  <c r="BA122" i="2" s="1"/>
  <c r="BA123" i="2" s="1"/>
  <c r="BA124" i="2" s="1"/>
  <c r="BA125" i="2" s="1"/>
  <c r="BA126" i="2" s="1"/>
  <c r="BA127" i="2" s="1"/>
  <c r="BA128" i="2" s="1"/>
  <c r="B26" i="2"/>
  <c r="CE25" i="2"/>
  <c r="AF12" i="2"/>
  <c r="AX42" i="1"/>
  <c r="AW44" i="1"/>
  <c r="AW110" i="1"/>
  <c r="AW96" i="1"/>
  <c r="Y110" i="1"/>
  <c r="K47" i="1"/>
  <c r="BC47" i="1" s="1"/>
  <c r="AE46" i="1"/>
  <c r="J47" i="1"/>
  <c r="BB47" i="1" s="1"/>
  <c r="AD46" i="1"/>
  <c r="AB44" i="1"/>
  <c r="Z42" i="1"/>
  <c r="X42" i="1"/>
  <c r="Y96" i="1"/>
  <c r="AA43" i="1"/>
  <c r="Y43" i="1"/>
  <c r="AF46" i="1"/>
  <c r="AC45" i="1"/>
  <c r="C14" i="1"/>
  <c r="AR14" i="1" s="1"/>
  <c r="BR13" i="1"/>
  <c r="L47" i="1"/>
  <c r="BD47" i="1" s="1"/>
  <c r="I46" i="1"/>
  <c r="BA46" i="1" s="1"/>
  <c r="E45" i="1"/>
  <c r="H45" i="1"/>
  <c r="AZ45" i="1" s="1"/>
  <c r="G44" i="1"/>
  <c r="F43" i="1"/>
  <c r="BO43" i="1" s="1"/>
  <c r="E97" i="1"/>
  <c r="BO97" i="1" s="1"/>
  <c r="AY119" i="2" l="1"/>
  <c r="AZ120" i="2"/>
  <c r="AZ121" i="2" s="1"/>
  <c r="AZ122" i="2" s="1"/>
  <c r="AZ123" i="2" s="1"/>
  <c r="AZ124" i="2" s="1"/>
  <c r="AZ125" i="2" s="1"/>
  <c r="AZ126" i="2" s="1"/>
  <c r="AZ127" i="2" s="1"/>
  <c r="AZ128" i="2" s="1"/>
  <c r="B27" i="2"/>
  <c r="CE26" i="2"/>
  <c r="AG12" i="2"/>
  <c r="AW97" i="1"/>
  <c r="AX43" i="1"/>
  <c r="AW45" i="1"/>
  <c r="Y44" i="1"/>
  <c r="AY44" i="1"/>
  <c r="X43" i="1"/>
  <c r="Z43" i="1"/>
  <c r="AF47" i="1"/>
  <c r="K48" i="1"/>
  <c r="BC48" i="1" s="1"/>
  <c r="AE47" i="1"/>
  <c r="AB45" i="1"/>
  <c r="J48" i="1"/>
  <c r="BB48" i="1" s="1"/>
  <c r="AD47" i="1"/>
  <c r="Y97" i="1"/>
  <c r="Y98" i="1"/>
  <c r="AA44" i="1"/>
  <c r="AC46" i="1"/>
  <c r="C15" i="1"/>
  <c r="AR15" i="1" s="1"/>
  <c r="BR14" i="1"/>
  <c r="G45" i="1"/>
  <c r="I47" i="1"/>
  <c r="BA47" i="1" s="1"/>
  <c r="H46" i="1"/>
  <c r="AZ46" i="1" s="1"/>
  <c r="L48" i="1"/>
  <c r="BD48" i="1" s="1"/>
  <c r="E46" i="1"/>
  <c r="F44" i="1"/>
  <c r="BO44" i="1" s="1"/>
  <c r="AX119" i="2" l="1"/>
  <c r="AY120" i="2"/>
  <c r="AY121" i="2" s="1"/>
  <c r="AY122" i="2" s="1"/>
  <c r="AY123" i="2" s="1"/>
  <c r="AY124" i="2" s="1"/>
  <c r="AY125" i="2" s="1"/>
  <c r="AY126" i="2" s="1"/>
  <c r="AY127" i="2" s="1"/>
  <c r="AY128" i="2" s="1"/>
  <c r="B28" i="2"/>
  <c r="CE27" i="2"/>
  <c r="AH12" i="2"/>
  <c r="AX44" i="1"/>
  <c r="AW46" i="1"/>
  <c r="Y45" i="1"/>
  <c r="AY45" i="1"/>
  <c r="X44" i="1"/>
  <c r="Z44" i="1"/>
  <c r="AF48" i="1"/>
  <c r="AF49" i="1"/>
  <c r="AB46" i="1"/>
  <c r="J49" i="1"/>
  <c r="BB49" i="1" s="1"/>
  <c r="AD48" i="1"/>
  <c r="AC47" i="1"/>
  <c r="AA45" i="1"/>
  <c r="K49" i="1"/>
  <c r="BC49" i="1" s="1"/>
  <c r="AE48" i="1"/>
  <c r="C16" i="1"/>
  <c r="AR16" i="1" s="1"/>
  <c r="BR15" i="1"/>
  <c r="F45" i="1"/>
  <c r="BO45" i="1" s="1"/>
  <c r="H47" i="1"/>
  <c r="AZ47" i="1" s="1"/>
  <c r="E47" i="1"/>
  <c r="I48" i="1"/>
  <c r="BA48" i="1" s="1"/>
  <c r="G46" i="1"/>
  <c r="AW119" i="2" l="1"/>
  <c r="AX120" i="2"/>
  <c r="AX121" i="2" s="1"/>
  <c r="AX122" i="2" s="1"/>
  <c r="AX123" i="2" s="1"/>
  <c r="AX124" i="2" s="1"/>
  <c r="AX125" i="2" s="1"/>
  <c r="AX126" i="2" s="1"/>
  <c r="AX127" i="2" s="1"/>
  <c r="AX128" i="2" s="1"/>
  <c r="B29" i="2"/>
  <c r="CE28" i="2"/>
  <c r="AI12" i="2"/>
  <c r="AW47" i="1"/>
  <c r="AX45" i="1"/>
  <c r="Y46" i="1"/>
  <c r="AY46" i="1"/>
  <c r="AB47" i="1"/>
  <c r="K51" i="1"/>
  <c r="BC51" i="1" s="1"/>
  <c r="AE49" i="1"/>
  <c r="AE50" i="1"/>
  <c r="X45" i="1"/>
  <c r="Z45" i="1"/>
  <c r="AA46" i="1"/>
  <c r="AC48" i="1"/>
  <c r="J51" i="1"/>
  <c r="BB51" i="1" s="1"/>
  <c r="AD49" i="1"/>
  <c r="AD50" i="1"/>
  <c r="C17" i="1"/>
  <c r="AR17" i="1" s="1"/>
  <c r="BR16" i="1"/>
  <c r="G47" i="1"/>
  <c r="I49" i="1"/>
  <c r="BA49" i="1" s="1"/>
  <c r="H48" i="1"/>
  <c r="AZ48" i="1" s="1"/>
  <c r="E48" i="1"/>
  <c r="F46" i="1"/>
  <c r="BO46" i="1" s="1"/>
  <c r="AV119" i="2" l="1"/>
  <c r="AW120" i="2"/>
  <c r="AW121" i="2" s="1"/>
  <c r="AW122" i="2" s="1"/>
  <c r="AW123" i="2" s="1"/>
  <c r="AW124" i="2" s="1"/>
  <c r="AW125" i="2" s="1"/>
  <c r="AW126" i="2" s="1"/>
  <c r="AW127" i="2" s="1"/>
  <c r="AW128" i="2" s="1"/>
  <c r="B30" i="2"/>
  <c r="CE29" i="2"/>
  <c r="AJ12" i="2"/>
  <c r="AX46" i="1"/>
  <c r="AW48" i="1"/>
  <c r="Y47" i="1"/>
  <c r="AY47" i="1"/>
  <c r="AB48" i="1"/>
  <c r="K52" i="1"/>
  <c r="BC52" i="1" s="1"/>
  <c r="AE51" i="1"/>
  <c r="X46" i="1"/>
  <c r="Z46" i="1"/>
  <c r="AC49" i="1"/>
  <c r="AC50" i="1"/>
  <c r="AA47" i="1"/>
  <c r="J52" i="1"/>
  <c r="BB52" i="1" s="1"/>
  <c r="AD51" i="1"/>
  <c r="C18" i="1"/>
  <c r="AR18" i="1" s="1"/>
  <c r="BR17" i="1"/>
  <c r="H49" i="1"/>
  <c r="AZ49" i="1" s="1"/>
  <c r="F47" i="1"/>
  <c r="BO47" i="1" s="1"/>
  <c r="I51" i="1"/>
  <c r="BA51" i="1" s="1"/>
  <c r="E49" i="1"/>
  <c r="G48" i="1"/>
  <c r="AY48" i="1" s="1"/>
  <c r="AU119" i="2" l="1"/>
  <c r="AV120" i="2"/>
  <c r="AV121" i="2" s="1"/>
  <c r="AV122" i="2" s="1"/>
  <c r="AV123" i="2" s="1"/>
  <c r="AV124" i="2" s="1"/>
  <c r="AV125" i="2" s="1"/>
  <c r="AV126" i="2" s="1"/>
  <c r="AV127" i="2" s="1"/>
  <c r="AV128" i="2" s="1"/>
  <c r="B31" i="2"/>
  <c r="CE30" i="2"/>
  <c r="AK12" i="2"/>
  <c r="AX47" i="1"/>
  <c r="AW49" i="1"/>
  <c r="J53" i="1"/>
  <c r="BB53" i="1" s="1"/>
  <c r="AD52" i="1"/>
  <c r="K53" i="1"/>
  <c r="BC53" i="1" s="1"/>
  <c r="AE52" i="1"/>
  <c r="AA48" i="1"/>
  <c r="AC51" i="1"/>
  <c r="Y50" i="1"/>
  <c r="Z47" i="1"/>
  <c r="X47" i="1"/>
  <c r="AB49" i="1"/>
  <c r="AB50" i="1"/>
  <c r="Y48" i="1"/>
  <c r="C19" i="1"/>
  <c r="AR19" i="1" s="1"/>
  <c r="BR18" i="1"/>
  <c r="G49" i="1"/>
  <c r="I52" i="1"/>
  <c r="BA52" i="1" s="1"/>
  <c r="F48" i="1"/>
  <c r="BO48" i="1" s="1"/>
  <c r="E51" i="1"/>
  <c r="H51" i="1"/>
  <c r="AZ51" i="1" s="1"/>
  <c r="AU120" i="2" l="1"/>
  <c r="AU121" i="2" s="1"/>
  <c r="AU122" i="2" s="1"/>
  <c r="AU123" i="2" s="1"/>
  <c r="AU124" i="2" s="1"/>
  <c r="AU125" i="2" s="1"/>
  <c r="AU126" i="2" s="1"/>
  <c r="AT119" i="2"/>
  <c r="AT120" i="2" s="1"/>
  <c r="AT121" i="2" s="1"/>
  <c r="AT122" i="2" s="1"/>
  <c r="AS122" i="2" s="1"/>
  <c r="AS123" i="2" s="1"/>
  <c r="AS124" i="2" s="1"/>
  <c r="AS125" i="2" s="1"/>
  <c r="AS126" i="2" s="1"/>
  <c r="B32" i="2"/>
  <c r="CE31" i="2"/>
  <c r="AL12" i="2"/>
  <c r="AX48" i="1"/>
  <c r="AW51" i="1"/>
  <c r="Y49" i="1"/>
  <c r="AY49" i="1"/>
  <c r="AC52" i="1"/>
  <c r="X48" i="1"/>
  <c r="Z48" i="1"/>
  <c r="K54" i="1"/>
  <c r="BC54" i="1" s="1"/>
  <c r="AE53" i="1"/>
  <c r="AA50" i="1"/>
  <c r="AA49" i="1"/>
  <c r="AB51" i="1"/>
  <c r="J54" i="1"/>
  <c r="BB54" i="1" s="1"/>
  <c r="AD53" i="1"/>
  <c r="C20" i="1"/>
  <c r="AR20" i="1" s="1"/>
  <c r="BR19" i="1"/>
  <c r="H52" i="1"/>
  <c r="AZ52" i="1" s="1"/>
  <c r="E52" i="1"/>
  <c r="I53" i="1"/>
  <c r="BA53" i="1" s="1"/>
  <c r="F49" i="1"/>
  <c r="BO49" i="1" s="1"/>
  <c r="G51" i="1"/>
  <c r="AY51" i="1" s="1"/>
  <c r="AU127" i="2" l="1"/>
  <c r="AU128" i="2" s="1"/>
  <c r="AT126" i="2"/>
  <c r="AT127" i="2" s="1"/>
  <c r="AT128" i="2" s="1"/>
  <c r="B33" i="2"/>
  <c r="CE32" i="2"/>
  <c r="AM12" i="2"/>
  <c r="AW52" i="1"/>
  <c r="AX49" i="1"/>
  <c r="AC53" i="1"/>
  <c r="AB52" i="1"/>
  <c r="Z50" i="1"/>
  <c r="X49" i="1"/>
  <c r="Z49" i="1"/>
  <c r="AE54" i="1"/>
  <c r="AE55" i="1"/>
  <c r="AA51" i="1"/>
  <c r="J55" i="1"/>
  <c r="BB55" i="1" s="1"/>
  <c r="AD54" i="1"/>
  <c r="Y51" i="1"/>
  <c r="C21" i="1"/>
  <c r="AR21" i="1" s="1"/>
  <c r="BR20" i="1"/>
  <c r="E53" i="1"/>
  <c r="H53" i="1"/>
  <c r="AZ53" i="1" s="1"/>
  <c r="G52" i="1"/>
  <c r="AY52" i="1" s="1"/>
  <c r="I54" i="1"/>
  <c r="BA54" i="1" s="1"/>
  <c r="F51" i="1"/>
  <c r="BO51" i="1" s="1"/>
  <c r="B34" i="2" l="1"/>
  <c r="CE33" i="2"/>
  <c r="AN12" i="2"/>
  <c r="AW53" i="1"/>
  <c r="AX51" i="1"/>
  <c r="J56" i="1"/>
  <c r="BB56" i="1" s="1"/>
  <c r="AD55" i="1"/>
  <c r="AC54" i="1"/>
  <c r="AA52" i="1"/>
  <c r="Y52" i="1"/>
  <c r="X51" i="1"/>
  <c r="Z51" i="1"/>
  <c r="AB53" i="1"/>
  <c r="C22" i="1"/>
  <c r="AR22" i="1" s="1"/>
  <c r="BR21" i="1"/>
  <c r="F52" i="1"/>
  <c r="BO52" i="1" s="1"/>
  <c r="H54" i="1"/>
  <c r="AZ54" i="1" s="1"/>
  <c r="E54" i="1"/>
  <c r="I55" i="1"/>
  <c r="BA55" i="1" s="1"/>
  <c r="G53" i="1"/>
  <c r="AY53" i="1" s="1"/>
  <c r="B35" i="2" l="1"/>
  <c r="CE34" i="2"/>
  <c r="AO12" i="2"/>
  <c r="BI13" i="2" s="1"/>
  <c r="CC13" i="2" s="1"/>
  <c r="DA13" i="2" s="1"/>
  <c r="AW54" i="1"/>
  <c r="AX52" i="1"/>
  <c r="Y53" i="1"/>
  <c r="AB54" i="1"/>
  <c r="AC55" i="1"/>
  <c r="X52" i="1"/>
  <c r="Z52" i="1"/>
  <c r="AA53" i="1"/>
  <c r="J58" i="1"/>
  <c r="BB58" i="1" s="1"/>
  <c r="AD57" i="1"/>
  <c r="AD56" i="1"/>
  <c r="C23" i="1"/>
  <c r="AR23" i="1" s="1"/>
  <c r="BR22" i="1"/>
  <c r="I56" i="1"/>
  <c r="BA56" i="1" s="1"/>
  <c r="E55" i="1"/>
  <c r="G54" i="1"/>
  <c r="AY54" i="1" s="1"/>
  <c r="H55" i="1"/>
  <c r="AZ55" i="1" s="1"/>
  <c r="F53" i="1"/>
  <c r="BO53" i="1" s="1"/>
  <c r="B36" i="2" l="1"/>
  <c r="CE35" i="2"/>
  <c r="BH13" i="2"/>
  <c r="CB13" i="2" s="1"/>
  <c r="CZ13" i="2" s="1"/>
  <c r="BI14" i="2"/>
  <c r="CC14" i="2" s="1"/>
  <c r="AX53" i="1"/>
  <c r="AW55" i="1"/>
  <c r="AA54" i="1"/>
  <c r="AC57" i="1"/>
  <c r="AC56" i="1"/>
  <c r="X53" i="1"/>
  <c r="Z53" i="1"/>
  <c r="J59" i="1"/>
  <c r="BB59" i="1" s="1"/>
  <c r="AD58" i="1"/>
  <c r="AB55" i="1"/>
  <c r="Y54" i="1"/>
  <c r="C24" i="1"/>
  <c r="AR24" i="1" s="1"/>
  <c r="BR23" i="1"/>
  <c r="H56" i="1"/>
  <c r="AZ56" i="1" s="1"/>
  <c r="I58" i="1"/>
  <c r="BA58" i="1" s="1"/>
  <c r="F54" i="1"/>
  <c r="BO54" i="1" s="1"/>
  <c r="E56" i="1"/>
  <c r="G55" i="1"/>
  <c r="AY55" i="1" s="1"/>
  <c r="B37" i="2" l="1"/>
  <c r="CE36" i="2"/>
  <c r="DA14" i="2"/>
  <c r="BI15" i="2"/>
  <c r="CC15" i="2" s="1"/>
  <c r="BH14" i="2"/>
  <c r="CB14" i="2" s="1"/>
  <c r="BG13" i="2"/>
  <c r="CA13" i="2" s="1"/>
  <c r="CY13" i="2" s="1"/>
  <c r="AW56" i="1"/>
  <c r="AX54" i="1"/>
  <c r="AA55" i="1"/>
  <c r="Y57" i="1"/>
  <c r="X54" i="1"/>
  <c r="Z54" i="1"/>
  <c r="AC58" i="1"/>
  <c r="AD59" i="1"/>
  <c r="AD60" i="1"/>
  <c r="AB57" i="1"/>
  <c r="AB56" i="1"/>
  <c r="Y55" i="1"/>
  <c r="C25" i="1"/>
  <c r="AR25" i="1" s="1"/>
  <c r="BR24" i="1"/>
  <c r="I59" i="1"/>
  <c r="BA59" i="1" s="1"/>
  <c r="G56" i="1"/>
  <c r="AY56" i="1" s="1"/>
  <c r="E58" i="1"/>
  <c r="H58" i="1"/>
  <c r="AZ58" i="1" s="1"/>
  <c r="F55" i="1"/>
  <c r="BO55" i="1" s="1"/>
  <c r="B38" i="2" l="1"/>
  <c r="CE37" i="2"/>
  <c r="BG14" i="2"/>
  <c r="CA14" i="2" s="1"/>
  <c r="CZ14" i="2"/>
  <c r="BF13" i="2"/>
  <c r="BZ13" i="2" s="1"/>
  <c r="CX13" i="2" s="1"/>
  <c r="BH15" i="2"/>
  <c r="CB15" i="2" s="1"/>
  <c r="DA15" i="2"/>
  <c r="BI16" i="2"/>
  <c r="CC16" i="2" s="1"/>
  <c r="AX55" i="1"/>
  <c r="AW58" i="1"/>
  <c r="AA56" i="1"/>
  <c r="AA57" i="1"/>
  <c r="Y56" i="1"/>
  <c r="AB58" i="1"/>
  <c r="Z55" i="1"/>
  <c r="X55" i="1"/>
  <c r="AC59" i="1"/>
  <c r="C26" i="1"/>
  <c r="AR26" i="1" s="1"/>
  <c r="BR25" i="1"/>
  <c r="H59" i="1"/>
  <c r="AZ59" i="1" s="1"/>
  <c r="G58" i="1"/>
  <c r="AY58" i="1" s="1"/>
  <c r="E59" i="1"/>
  <c r="F56" i="1"/>
  <c r="BO56" i="1" s="1"/>
  <c r="I60" i="1"/>
  <c r="BA60" i="1" s="1"/>
  <c r="B39" i="2" l="1"/>
  <c r="CE38" i="2"/>
  <c r="BI17" i="2"/>
  <c r="CC17" i="2" s="1"/>
  <c r="DA16" i="2"/>
  <c r="BE13" i="2"/>
  <c r="BY13" i="2" s="1"/>
  <c r="CW13" i="2" s="1"/>
  <c r="CZ15" i="2"/>
  <c r="BH16" i="2"/>
  <c r="CB16" i="2" s="1"/>
  <c r="BF14" i="2"/>
  <c r="BZ14" i="2" s="1"/>
  <c r="CY14" i="2"/>
  <c r="BG15" i="2"/>
  <c r="CA15" i="2" s="1"/>
  <c r="AX56" i="1"/>
  <c r="AW59" i="1"/>
  <c r="X56" i="1"/>
  <c r="Z56" i="1"/>
  <c r="Z57" i="1"/>
  <c r="AC60" i="1"/>
  <c r="AB59" i="1"/>
  <c r="AA58" i="1"/>
  <c r="Y58" i="1"/>
  <c r="C27" i="1"/>
  <c r="AR27" i="1" s="1"/>
  <c r="BR26" i="1"/>
  <c r="E60" i="1"/>
  <c r="G59" i="1"/>
  <c r="F58" i="1"/>
  <c r="BO58" i="1" s="1"/>
  <c r="I61" i="1"/>
  <c r="BA61" i="1" s="1"/>
  <c r="H60" i="1"/>
  <c r="AZ60" i="1" s="1"/>
  <c r="B40" i="2" l="1"/>
  <c r="CE39" i="2"/>
  <c r="BE14" i="2"/>
  <c r="BY14" i="2" s="1"/>
  <c r="CX14" i="2"/>
  <c r="BF15" i="2"/>
  <c r="BZ15" i="2" s="1"/>
  <c r="BD13" i="2"/>
  <c r="BX13" i="2" s="1"/>
  <c r="CV13" i="2" s="1"/>
  <c r="BH17" i="2"/>
  <c r="CB17" i="2" s="1"/>
  <c r="CZ16" i="2"/>
  <c r="CY15" i="2"/>
  <c r="BG16" i="2"/>
  <c r="CA16" i="2" s="1"/>
  <c r="BI18" i="2"/>
  <c r="CC18" i="2" s="1"/>
  <c r="DA17" i="2"/>
  <c r="AW60" i="1"/>
  <c r="AX58" i="1"/>
  <c r="Y59" i="1"/>
  <c r="AY59" i="1"/>
  <c r="AC62" i="1"/>
  <c r="AC61" i="1"/>
  <c r="AB60" i="1"/>
  <c r="Z58" i="1"/>
  <c r="X58" i="1"/>
  <c r="AA59" i="1"/>
  <c r="C28" i="1"/>
  <c r="AR28" i="1" s="1"/>
  <c r="BR27" i="1"/>
  <c r="F59" i="1"/>
  <c r="BO59" i="1" s="1"/>
  <c r="E61" i="1"/>
  <c r="G60" i="1"/>
  <c r="AY60" i="1" s="1"/>
  <c r="H61" i="1"/>
  <c r="AZ61" i="1" s="1"/>
  <c r="B41" i="2" l="1"/>
  <c r="CE40" i="2"/>
  <c r="BC13" i="2"/>
  <c r="BW13" i="2" s="1"/>
  <c r="CU13" i="2" s="1"/>
  <c r="CX15" i="2"/>
  <c r="BF16" i="2"/>
  <c r="BZ16" i="2" s="1"/>
  <c r="BI19" i="2"/>
  <c r="CC19" i="2" s="1"/>
  <c r="DA18" i="2"/>
  <c r="BH18" i="2"/>
  <c r="CB18" i="2" s="1"/>
  <c r="CZ17" i="2"/>
  <c r="BG17" i="2"/>
  <c r="CA17" i="2" s="1"/>
  <c r="CY16" i="2"/>
  <c r="BD14" i="2"/>
  <c r="BX14" i="2" s="1"/>
  <c r="CW14" i="2"/>
  <c r="BE15" i="2"/>
  <c r="BY15" i="2" s="1"/>
  <c r="AW61" i="1"/>
  <c r="AX59" i="1"/>
  <c r="AA60" i="1"/>
  <c r="X59" i="1"/>
  <c r="Z59" i="1"/>
  <c r="AB61" i="1"/>
  <c r="Y60" i="1"/>
  <c r="C29" i="1"/>
  <c r="AR29" i="1" s="1"/>
  <c r="BR28" i="1"/>
  <c r="H62" i="1"/>
  <c r="AZ62" i="1" s="1"/>
  <c r="G61" i="1"/>
  <c r="AY61" i="1" s="1"/>
  <c r="E62" i="1"/>
  <c r="F60" i="1"/>
  <c r="BO60" i="1" s="1"/>
  <c r="B42" i="2" l="1"/>
  <c r="CE41" i="2"/>
  <c r="BF17" i="2"/>
  <c r="BZ17" i="2" s="1"/>
  <c r="CX16" i="2"/>
  <c r="BH19" i="2"/>
  <c r="CB19" i="2" s="1"/>
  <c r="CZ18" i="2"/>
  <c r="CW15" i="2"/>
  <c r="BE16" i="2"/>
  <c r="BY16" i="2" s="1"/>
  <c r="BI20" i="2"/>
  <c r="CC20" i="2" s="1"/>
  <c r="DA19" i="2"/>
  <c r="BC14" i="2"/>
  <c r="BW14" i="2" s="1"/>
  <c r="CV14" i="2"/>
  <c r="BD15" i="2"/>
  <c r="BX15" i="2" s="1"/>
  <c r="BG18" i="2"/>
  <c r="CA18" i="2" s="1"/>
  <c r="CY17" i="2"/>
  <c r="BB13" i="2"/>
  <c r="BV13" i="2" s="1"/>
  <c r="CT13" i="2" s="1"/>
  <c r="AX60" i="1"/>
  <c r="AW62" i="1"/>
  <c r="Y61" i="1"/>
  <c r="Y63" i="1"/>
  <c r="X60" i="1"/>
  <c r="Z60" i="1"/>
  <c r="AA61" i="1"/>
  <c r="AB63" i="1"/>
  <c r="AB62" i="1"/>
  <c r="C30" i="1"/>
  <c r="AR30" i="1" s="1"/>
  <c r="BR29" i="1"/>
  <c r="G62" i="1"/>
  <c r="AY62" i="1" s="1"/>
  <c r="E64" i="1"/>
  <c r="F61" i="1"/>
  <c r="BO61" i="1" s="1"/>
  <c r="B43" i="2" l="1"/>
  <c r="CE42" i="2"/>
  <c r="BI21" i="2"/>
  <c r="CC21" i="2" s="1"/>
  <c r="DA20" i="2"/>
  <c r="BG19" i="2"/>
  <c r="CA19" i="2" s="1"/>
  <c r="CY18" i="2"/>
  <c r="BA13" i="2"/>
  <c r="BU13" i="2" s="1"/>
  <c r="CS13" i="2" s="1"/>
  <c r="BH20" i="2"/>
  <c r="CB20" i="2" s="1"/>
  <c r="CZ19" i="2"/>
  <c r="BE17" i="2"/>
  <c r="BY17" i="2" s="1"/>
  <c r="CW16" i="2"/>
  <c r="CV15" i="2"/>
  <c r="BD16" i="2"/>
  <c r="BX16" i="2" s="1"/>
  <c r="BB14" i="2"/>
  <c r="BV14" i="2" s="1"/>
  <c r="CU14" i="2"/>
  <c r="BC15" i="2"/>
  <c r="BW15" i="2" s="1"/>
  <c r="BF18" i="2"/>
  <c r="BZ18" i="2" s="1"/>
  <c r="CX17" i="2"/>
  <c r="AW64" i="1"/>
  <c r="AX61" i="1"/>
  <c r="AA63" i="1"/>
  <c r="AA62" i="1"/>
  <c r="X61" i="1"/>
  <c r="Z61" i="1"/>
  <c r="Y65" i="1"/>
  <c r="Y62" i="1"/>
  <c r="C31" i="1"/>
  <c r="AR31" i="1" s="1"/>
  <c r="BR30" i="1"/>
  <c r="E66" i="1"/>
  <c r="G64" i="1"/>
  <c r="F62" i="1"/>
  <c r="BO62" i="1" s="1"/>
  <c r="B44" i="2" l="1"/>
  <c r="CE43" i="2"/>
  <c r="CU15" i="2"/>
  <c r="BC16" i="2"/>
  <c r="BW16" i="2" s="1"/>
  <c r="BH21" i="2"/>
  <c r="CB21" i="2" s="1"/>
  <c r="CZ20" i="2"/>
  <c r="BF19" i="2"/>
  <c r="BZ19" i="2" s="1"/>
  <c r="CX18" i="2"/>
  <c r="BA14" i="2"/>
  <c r="BU14" i="2" s="1"/>
  <c r="CT14" i="2"/>
  <c r="BB15" i="2"/>
  <c r="BV15" i="2" s="1"/>
  <c r="BD17" i="2"/>
  <c r="BX17" i="2" s="1"/>
  <c r="CV16" i="2"/>
  <c r="BG20" i="2"/>
  <c r="CA20" i="2" s="1"/>
  <c r="CY19" i="2"/>
  <c r="AZ13" i="2"/>
  <c r="BT13" i="2" s="1"/>
  <c r="CR13" i="2" s="1"/>
  <c r="BE18" i="2"/>
  <c r="BY18" i="2" s="1"/>
  <c r="CW17" i="2"/>
  <c r="BI22" i="2"/>
  <c r="CC22" i="2" s="1"/>
  <c r="DA21" i="2"/>
  <c r="AW66" i="1"/>
  <c r="AX62" i="1"/>
  <c r="Y64" i="1"/>
  <c r="AY64" i="1"/>
  <c r="Z63" i="1"/>
  <c r="X62" i="1"/>
  <c r="Z62" i="1"/>
  <c r="AA64" i="1"/>
  <c r="AA65" i="1"/>
  <c r="C32" i="1"/>
  <c r="AR32" i="1" s="1"/>
  <c r="BR31" i="1"/>
  <c r="G66" i="1"/>
  <c r="AY66" i="1" s="1"/>
  <c r="F64" i="1"/>
  <c r="BO64" i="1" s="1"/>
  <c r="E67" i="1"/>
  <c r="B45" i="2" l="1"/>
  <c r="CE44" i="2"/>
  <c r="AZ14" i="2"/>
  <c r="BT14" i="2" s="1"/>
  <c r="CS14" i="2"/>
  <c r="BA15" i="2"/>
  <c r="BU15" i="2" s="1"/>
  <c r="AY13" i="2"/>
  <c r="BS13" i="2" s="1"/>
  <c r="CQ13" i="2" s="1"/>
  <c r="BG21" i="2"/>
  <c r="CA21" i="2" s="1"/>
  <c r="CY20" i="2"/>
  <c r="BH22" i="2"/>
  <c r="CB22" i="2" s="1"/>
  <c r="CZ21" i="2"/>
  <c r="BE19" i="2"/>
  <c r="BY19" i="2" s="1"/>
  <c r="CW18" i="2"/>
  <c r="BF20" i="2"/>
  <c r="BZ20" i="2" s="1"/>
  <c r="CX19" i="2"/>
  <c r="BI23" i="2"/>
  <c r="CC23" i="2" s="1"/>
  <c r="DA22" i="2"/>
  <c r="BC17" i="2"/>
  <c r="BW17" i="2" s="1"/>
  <c r="CU16" i="2"/>
  <c r="BD18" i="2"/>
  <c r="BX18" i="2" s="1"/>
  <c r="CV17" i="2"/>
  <c r="CT15" i="2"/>
  <c r="BB16" i="2"/>
  <c r="BV16" i="2" s="1"/>
  <c r="AW67" i="1"/>
  <c r="AX64" i="1"/>
  <c r="X64" i="1"/>
  <c r="Z64" i="1"/>
  <c r="Z65" i="1"/>
  <c r="AA66" i="1"/>
  <c r="Y66" i="1"/>
  <c r="C33" i="1"/>
  <c r="AR33" i="1" s="1"/>
  <c r="BR32" i="1"/>
  <c r="F66" i="1"/>
  <c r="BO66" i="1" s="1"/>
  <c r="E68" i="1"/>
  <c r="G67" i="1"/>
  <c r="AY67" i="1" s="1"/>
  <c r="B46" i="2" l="1"/>
  <c r="CE45" i="2"/>
  <c r="BH23" i="2"/>
  <c r="CB23" i="2" s="1"/>
  <c r="CZ22" i="2"/>
  <c r="BI24" i="2"/>
  <c r="CC24" i="2" s="1"/>
  <c r="DA23" i="2"/>
  <c r="BF21" i="2"/>
  <c r="BZ21" i="2" s="1"/>
  <c r="CX20" i="2"/>
  <c r="AX13" i="2"/>
  <c r="BR13" i="2" s="1"/>
  <c r="CP13" i="2" s="1"/>
  <c r="BB17" i="2"/>
  <c r="BV17" i="2" s="1"/>
  <c r="CT16" i="2"/>
  <c r="BD19" i="2"/>
  <c r="BX19" i="2" s="1"/>
  <c r="CV18" i="2"/>
  <c r="BC18" i="2"/>
  <c r="BW18" i="2" s="1"/>
  <c r="CU17" i="2"/>
  <c r="BG22" i="2"/>
  <c r="CA22" i="2" s="1"/>
  <c r="CY21" i="2"/>
  <c r="CS15" i="2"/>
  <c r="BA16" i="2"/>
  <c r="BU16" i="2" s="1"/>
  <c r="BE20" i="2"/>
  <c r="BY20" i="2" s="1"/>
  <c r="CW19" i="2"/>
  <c r="AY14" i="2"/>
  <c r="BS14" i="2" s="1"/>
  <c r="CR14" i="2"/>
  <c r="AZ15" i="2"/>
  <c r="BT15" i="2" s="1"/>
  <c r="AW68" i="1"/>
  <c r="AX66" i="1"/>
  <c r="Z66" i="1"/>
  <c r="X66" i="1"/>
  <c r="AA67" i="1"/>
  <c r="Y67" i="1"/>
  <c r="C34" i="1"/>
  <c r="AR34" i="1" s="1"/>
  <c r="BR33" i="1"/>
  <c r="E69" i="1"/>
  <c r="F67" i="1"/>
  <c r="BO67" i="1" s="1"/>
  <c r="G68" i="1"/>
  <c r="B47" i="2" l="1"/>
  <c r="CE46" i="2"/>
  <c r="AW13" i="2"/>
  <c r="BQ13" i="2" s="1"/>
  <c r="CO13" i="2" s="1"/>
  <c r="BF22" i="2"/>
  <c r="BZ22" i="2" s="1"/>
  <c r="CX21" i="2"/>
  <c r="BG23" i="2"/>
  <c r="CA23" i="2" s="1"/>
  <c r="CY22" i="2"/>
  <c r="BE21" i="2"/>
  <c r="BY21" i="2" s="1"/>
  <c r="CW20" i="2"/>
  <c r="BD20" i="2"/>
  <c r="BX20" i="2" s="1"/>
  <c r="CV19" i="2"/>
  <c r="BI25" i="2"/>
  <c r="CC25" i="2" s="1"/>
  <c r="DA24" i="2"/>
  <c r="BC19" i="2"/>
  <c r="BW19" i="2" s="1"/>
  <c r="CU18" i="2"/>
  <c r="BA17" i="2"/>
  <c r="BU17" i="2" s="1"/>
  <c r="CS16" i="2"/>
  <c r="CR15" i="2"/>
  <c r="AZ16" i="2"/>
  <c r="BT16" i="2" s="1"/>
  <c r="AX14" i="2"/>
  <c r="BR14" i="2" s="1"/>
  <c r="CQ14" i="2"/>
  <c r="AY15" i="2"/>
  <c r="BS15" i="2" s="1"/>
  <c r="BB18" i="2"/>
  <c r="BV18" i="2" s="1"/>
  <c r="CT17" i="2"/>
  <c r="BH24" i="2"/>
  <c r="CB24" i="2" s="1"/>
  <c r="CZ23" i="2"/>
  <c r="AW69" i="1"/>
  <c r="AX67" i="1"/>
  <c r="Y68" i="1"/>
  <c r="AY68" i="1"/>
  <c r="X67" i="1"/>
  <c r="Z67" i="1"/>
  <c r="AA68" i="1"/>
  <c r="C35" i="1"/>
  <c r="AR35" i="1" s="1"/>
  <c r="BR34" i="1"/>
  <c r="F68" i="1"/>
  <c r="BO68" i="1" s="1"/>
  <c r="E70" i="1"/>
  <c r="G69" i="1"/>
  <c r="B48" i="2" l="1"/>
  <c r="CE47" i="2"/>
  <c r="BA18" i="2"/>
  <c r="BU18" i="2" s="1"/>
  <c r="CS17" i="2"/>
  <c r="BE22" i="2"/>
  <c r="BY22" i="2" s="1"/>
  <c r="CW21" i="2"/>
  <c r="CQ15" i="2"/>
  <c r="AY16" i="2"/>
  <c r="BS16" i="2" s="1"/>
  <c r="BG24" i="2"/>
  <c r="CA24" i="2" s="1"/>
  <c r="CY23" i="2"/>
  <c r="BH25" i="2"/>
  <c r="CZ24" i="2"/>
  <c r="DA25" i="2"/>
  <c r="BI26" i="2"/>
  <c r="CC26" i="2" s="1"/>
  <c r="BF23" i="2"/>
  <c r="BZ23" i="2" s="1"/>
  <c r="CX22" i="2"/>
  <c r="BC20" i="2"/>
  <c r="BW20" i="2" s="1"/>
  <c r="CU19" i="2"/>
  <c r="AW14" i="2"/>
  <c r="BQ14" i="2" s="1"/>
  <c r="CP14" i="2"/>
  <c r="AX15" i="2"/>
  <c r="BR15" i="2" s="1"/>
  <c r="AZ17" i="2"/>
  <c r="BT17" i="2" s="1"/>
  <c r="CR16" i="2"/>
  <c r="BB19" i="2"/>
  <c r="BV19" i="2" s="1"/>
  <c r="CT18" i="2"/>
  <c r="BD21" i="2"/>
  <c r="BX21" i="2" s="1"/>
  <c r="CV20" i="2"/>
  <c r="AV13" i="2"/>
  <c r="BP13" i="2" s="1"/>
  <c r="CN13" i="2" s="1"/>
  <c r="AX68" i="1"/>
  <c r="Y70" i="1"/>
  <c r="AW70" i="1"/>
  <c r="Y69" i="1"/>
  <c r="AY69" i="1"/>
  <c r="X68" i="1"/>
  <c r="Z68" i="1"/>
  <c r="AA69" i="1"/>
  <c r="AA70" i="1"/>
  <c r="C36" i="1"/>
  <c r="AR36" i="1" s="1"/>
  <c r="BR35" i="1"/>
  <c r="E71" i="1"/>
  <c r="F69" i="1"/>
  <c r="BO69" i="1" s="1"/>
  <c r="CB25" i="2" l="1"/>
  <c r="CZ25" i="2" s="1"/>
  <c r="B49" i="2"/>
  <c r="CE48" i="2"/>
  <c r="BC21" i="2"/>
  <c r="BW21" i="2" s="1"/>
  <c r="CU20" i="2"/>
  <c r="BG25" i="2"/>
  <c r="CA25" i="2" s="1"/>
  <c r="CY24" i="2"/>
  <c r="BF24" i="2"/>
  <c r="BZ24" i="2" s="1"/>
  <c r="CX23" i="2"/>
  <c r="AY17" i="2"/>
  <c r="BS17" i="2" s="1"/>
  <c r="CQ16" i="2"/>
  <c r="AZ18" i="2"/>
  <c r="BT18" i="2" s="1"/>
  <c r="CR17" i="2"/>
  <c r="BH26" i="2"/>
  <c r="CB26" i="2" s="1"/>
  <c r="DA26" i="2"/>
  <c r="BI27" i="2"/>
  <c r="CC27" i="2" s="1"/>
  <c r="BD22" i="2"/>
  <c r="BX22" i="2" s="1"/>
  <c r="CV21" i="2"/>
  <c r="BB20" i="2"/>
  <c r="BV20" i="2" s="1"/>
  <c r="CT19" i="2"/>
  <c r="CP15" i="2"/>
  <c r="AX16" i="2"/>
  <c r="BR16" i="2" s="1"/>
  <c r="BE23" i="2"/>
  <c r="BY23" i="2" s="1"/>
  <c r="CW22" i="2"/>
  <c r="AU13" i="2"/>
  <c r="BO13" i="2" s="1"/>
  <c r="CM13" i="2" s="1"/>
  <c r="AV14" i="2"/>
  <c r="BP14" i="2" s="1"/>
  <c r="CO14" i="2"/>
  <c r="AW15" i="2"/>
  <c r="BQ15" i="2" s="1"/>
  <c r="BA19" i="2"/>
  <c r="BU19" i="2" s="1"/>
  <c r="CS18" i="2"/>
  <c r="AW71" i="1"/>
  <c r="AX69" i="1"/>
  <c r="X69" i="1"/>
  <c r="Z69" i="1"/>
  <c r="Y72" i="1"/>
  <c r="Y71" i="1"/>
  <c r="C37" i="1"/>
  <c r="AR37" i="1" s="1"/>
  <c r="BR36" i="1"/>
  <c r="F70" i="1"/>
  <c r="BO70" i="1" s="1"/>
  <c r="E73" i="1"/>
  <c r="B50" i="2" l="1"/>
  <c r="CE49" i="2"/>
  <c r="AY18" i="2"/>
  <c r="BS18" i="2" s="1"/>
  <c r="CQ17" i="2"/>
  <c r="BE24" i="2"/>
  <c r="BY24" i="2" s="1"/>
  <c r="CW23" i="2"/>
  <c r="BB21" i="2"/>
  <c r="BV21" i="2" s="1"/>
  <c r="CT20" i="2"/>
  <c r="AT13" i="2"/>
  <c r="BN13" i="2" s="1"/>
  <c r="CL13" i="2" s="1"/>
  <c r="BA20" i="2"/>
  <c r="BU20" i="2" s="1"/>
  <c r="CS19" i="2"/>
  <c r="CY25" i="2"/>
  <c r="BG26" i="2"/>
  <c r="CA26" i="2" s="1"/>
  <c r="BD23" i="2"/>
  <c r="BX23" i="2" s="1"/>
  <c r="CV22" i="2"/>
  <c r="DA27" i="2"/>
  <c r="BI28" i="2"/>
  <c r="CC28" i="2" s="1"/>
  <c r="AX17" i="2"/>
  <c r="BR17" i="2" s="1"/>
  <c r="CP16" i="2"/>
  <c r="AU14" i="2"/>
  <c r="BO14" i="2" s="1"/>
  <c r="CN14" i="2"/>
  <c r="AV15" i="2"/>
  <c r="BP15" i="2" s="1"/>
  <c r="BF25" i="2"/>
  <c r="BZ25" i="2" s="1"/>
  <c r="CX24" i="2"/>
  <c r="CZ26" i="2"/>
  <c r="BH27" i="2"/>
  <c r="CB27" i="2" s="1"/>
  <c r="CO15" i="2"/>
  <c r="AW16" i="2"/>
  <c r="BQ16" i="2" s="1"/>
  <c r="AZ19" i="2"/>
  <c r="BT19" i="2" s="1"/>
  <c r="CR18" i="2"/>
  <c r="BC22" i="2"/>
  <c r="BW22" i="2" s="1"/>
  <c r="CU21" i="2"/>
  <c r="AX70" i="1"/>
  <c r="Y73" i="1"/>
  <c r="AW73" i="1"/>
  <c r="X70" i="1"/>
  <c r="Z70" i="1"/>
  <c r="C38" i="1"/>
  <c r="AR38" i="1" s="1"/>
  <c r="BR37" i="1"/>
  <c r="E74" i="1"/>
  <c r="F71" i="1"/>
  <c r="BO71" i="1" s="1"/>
  <c r="B51" i="2" l="1"/>
  <c r="CE50" i="2"/>
  <c r="AS13" i="2"/>
  <c r="BM13" i="2" s="1"/>
  <c r="CK13" i="2" s="1"/>
  <c r="BB22" i="2"/>
  <c r="BV22" i="2" s="1"/>
  <c r="CT21" i="2"/>
  <c r="BI29" i="2"/>
  <c r="CC29" i="2" s="1"/>
  <c r="DA28" i="2"/>
  <c r="BG27" i="2"/>
  <c r="CA27" i="2" s="1"/>
  <c r="CY26" i="2"/>
  <c r="BC23" i="2"/>
  <c r="BW23" i="2" s="1"/>
  <c r="CU22" i="2"/>
  <c r="CN15" i="2"/>
  <c r="AV16" i="2"/>
  <c r="BP16" i="2" s="1"/>
  <c r="BE25" i="2"/>
  <c r="BY25" i="2" s="1"/>
  <c r="CW24" i="2"/>
  <c r="AZ20" i="2"/>
  <c r="BT20" i="2" s="1"/>
  <c r="CR19" i="2"/>
  <c r="AW17" i="2"/>
  <c r="BQ17" i="2" s="1"/>
  <c r="CO16" i="2"/>
  <c r="CX25" i="2"/>
  <c r="BF26" i="2"/>
  <c r="BZ26" i="2" s="1"/>
  <c r="BD24" i="2"/>
  <c r="BX24" i="2" s="1"/>
  <c r="CV23" i="2"/>
  <c r="AT14" i="2"/>
  <c r="BN14" i="2" s="1"/>
  <c r="CM14" i="2"/>
  <c r="AU15" i="2"/>
  <c r="BO15" i="2" s="1"/>
  <c r="BH28" i="2"/>
  <c r="CB28" i="2" s="1"/>
  <c r="CZ27" i="2"/>
  <c r="AX18" i="2"/>
  <c r="BR18" i="2" s="1"/>
  <c r="CP17" i="2"/>
  <c r="BA21" i="2"/>
  <c r="BU21" i="2" s="1"/>
  <c r="CS20" i="2"/>
  <c r="AY19" i="2"/>
  <c r="BS19" i="2" s="1"/>
  <c r="CQ18" i="2"/>
  <c r="AX71" i="1"/>
  <c r="Y74" i="1"/>
  <c r="AW74" i="1"/>
  <c r="Z71" i="1"/>
  <c r="Z72" i="1"/>
  <c r="X71" i="1"/>
  <c r="C39" i="1"/>
  <c r="AR39" i="1" s="1"/>
  <c r="BR38" i="1"/>
  <c r="F73" i="1"/>
  <c r="BO73" i="1" s="1"/>
  <c r="E75" i="1"/>
  <c r="B52" i="2" l="1"/>
  <c r="CE51" i="2"/>
  <c r="BI30" i="2"/>
  <c r="CC30" i="2" s="1"/>
  <c r="DA29" i="2"/>
  <c r="AS14" i="2"/>
  <c r="BM14" i="2" s="1"/>
  <c r="CL14" i="2"/>
  <c r="AT15" i="2"/>
  <c r="BN15" i="2" s="1"/>
  <c r="AV17" i="2"/>
  <c r="BP17" i="2" s="1"/>
  <c r="CN16" i="2"/>
  <c r="AY20" i="2"/>
  <c r="BS20" i="2" s="1"/>
  <c r="CQ19" i="2"/>
  <c r="CY27" i="2"/>
  <c r="BG28" i="2"/>
  <c r="CA28" i="2" s="1"/>
  <c r="CW25" i="2"/>
  <c r="BE26" i="2"/>
  <c r="BY26" i="2" s="1"/>
  <c r="BB23" i="2"/>
  <c r="BV23" i="2" s="1"/>
  <c r="CT22" i="2"/>
  <c r="AZ21" i="2"/>
  <c r="BT21" i="2" s="1"/>
  <c r="CR20" i="2"/>
  <c r="CX26" i="2"/>
  <c r="BF27" i="2"/>
  <c r="BZ27" i="2" s="1"/>
  <c r="BH29" i="2"/>
  <c r="CB29" i="2" s="1"/>
  <c r="CZ28" i="2"/>
  <c r="BA22" i="2"/>
  <c r="BU22" i="2" s="1"/>
  <c r="CS21" i="2"/>
  <c r="BD25" i="2"/>
  <c r="BX25" i="2" s="1"/>
  <c r="CV24" i="2"/>
  <c r="AX19" i="2"/>
  <c r="BR19" i="2" s="1"/>
  <c r="CP18" i="2"/>
  <c r="CM15" i="2"/>
  <c r="AU16" i="2"/>
  <c r="BO16" i="2" s="1"/>
  <c r="AW18" i="2"/>
  <c r="BQ18" i="2" s="1"/>
  <c r="CO17" i="2"/>
  <c r="BC24" i="2"/>
  <c r="BW24" i="2" s="1"/>
  <c r="CU23" i="2"/>
  <c r="AR13" i="2"/>
  <c r="BL13" i="2" s="1"/>
  <c r="CJ13" i="2" s="1"/>
  <c r="AX73" i="1"/>
  <c r="Y75" i="1"/>
  <c r="AW75" i="1"/>
  <c r="X73" i="1"/>
  <c r="Z73" i="1"/>
  <c r="C40" i="1"/>
  <c r="AR40" i="1" s="1"/>
  <c r="BR39" i="1"/>
  <c r="E76" i="1"/>
  <c r="BO76" i="1" s="1"/>
  <c r="F74" i="1"/>
  <c r="BO74" i="1" s="1"/>
  <c r="DB13" i="2" l="1"/>
  <c r="DC13" i="2" s="1"/>
  <c r="B53" i="2"/>
  <c r="CE52" i="2"/>
  <c r="CV25" i="2"/>
  <c r="BD26" i="2"/>
  <c r="BX26" i="2" s="1"/>
  <c r="CW26" i="2"/>
  <c r="BE27" i="2"/>
  <c r="BY27" i="2" s="1"/>
  <c r="CL15" i="2"/>
  <c r="AT16" i="2"/>
  <c r="BN16" i="2" s="1"/>
  <c r="AY21" i="2"/>
  <c r="BS21" i="2" s="1"/>
  <c r="CQ20" i="2"/>
  <c r="BA23" i="2"/>
  <c r="BU23" i="2" s="1"/>
  <c r="CS22" i="2"/>
  <c r="BH30" i="2"/>
  <c r="CB30" i="2" s="1"/>
  <c r="CZ29" i="2"/>
  <c r="AV18" i="2"/>
  <c r="BP18" i="2" s="1"/>
  <c r="CN17" i="2"/>
  <c r="BF28" i="2"/>
  <c r="BZ28" i="2" s="1"/>
  <c r="CX27" i="2"/>
  <c r="BG29" i="2"/>
  <c r="CA29" i="2" s="1"/>
  <c r="CY28" i="2"/>
  <c r="CK14" i="2"/>
  <c r="AS15" i="2"/>
  <c r="BM15" i="2" s="1"/>
  <c r="BC25" i="2"/>
  <c r="BW25" i="2" s="1"/>
  <c r="CU24" i="2"/>
  <c r="BB24" i="2"/>
  <c r="BV24" i="2" s="1"/>
  <c r="CT23" i="2"/>
  <c r="AX20" i="2"/>
  <c r="BR20" i="2" s="1"/>
  <c r="CP19" i="2"/>
  <c r="AZ22" i="2"/>
  <c r="BT22" i="2" s="1"/>
  <c r="CR21" i="2"/>
  <c r="AW19" i="2"/>
  <c r="BQ19" i="2" s="1"/>
  <c r="CO18" i="2"/>
  <c r="AU17" i="2"/>
  <c r="BO17" i="2" s="1"/>
  <c r="CM16" i="2"/>
  <c r="AR14" i="2"/>
  <c r="BL14" i="2" s="1"/>
  <c r="BL15" i="2" s="1"/>
  <c r="BI31" i="2"/>
  <c r="CC31" i="2" s="1"/>
  <c r="DA30" i="2"/>
  <c r="AX74" i="1"/>
  <c r="AW76" i="1"/>
  <c r="Z74" i="1"/>
  <c r="X74" i="1"/>
  <c r="Y77" i="1"/>
  <c r="Y76" i="1"/>
  <c r="C41" i="1"/>
  <c r="AR41" i="1" s="1"/>
  <c r="BR40" i="1"/>
  <c r="E78" i="1"/>
  <c r="BO78" i="1" s="1"/>
  <c r="F75" i="1"/>
  <c r="BO75" i="1" s="1"/>
  <c r="DL13" i="2" l="1"/>
  <c r="B54" i="2"/>
  <c r="CE53" i="2"/>
  <c r="CX28" i="2"/>
  <c r="BF29" i="2"/>
  <c r="BZ29" i="2" s="1"/>
  <c r="AY22" i="2"/>
  <c r="BS22" i="2" s="1"/>
  <c r="CQ21" i="2"/>
  <c r="AV19" i="2"/>
  <c r="BP19" i="2" s="1"/>
  <c r="CN18" i="2"/>
  <c r="BE28" i="2"/>
  <c r="BY28" i="2" s="1"/>
  <c r="CW27" i="2"/>
  <c r="BB25" i="2"/>
  <c r="BV25" i="2" s="1"/>
  <c r="CT24" i="2"/>
  <c r="AW20" i="2"/>
  <c r="BQ20" i="2" s="1"/>
  <c r="CO19" i="2"/>
  <c r="CZ30" i="2"/>
  <c r="BH31" i="2"/>
  <c r="CB31" i="2" s="1"/>
  <c r="CU25" i="2"/>
  <c r="BC26" i="2"/>
  <c r="BW26" i="2" s="1"/>
  <c r="BI32" i="2"/>
  <c r="CC32" i="2" s="1"/>
  <c r="DA31" i="2"/>
  <c r="CV26" i="2"/>
  <c r="BD27" i="2"/>
  <c r="BX27" i="2" s="1"/>
  <c r="AU18" i="2"/>
  <c r="BO18" i="2" s="1"/>
  <c r="CM17" i="2"/>
  <c r="AT17" i="2"/>
  <c r="BN17" i="2" s="1"/>
  <c r="CL16" i="2"/>
  <c r="AS16" i="2"/>
  <c r="BM16" i="2" s="1"/>
  <c r="BM17" i="2" s="1"/>
  <c r="BM18" i="2" s="1"/>
  <c r="CK15" i="2"/>
  <c r="AZ23" i="2"/>
  <c r="BT23" i="2" s="1"/>
  <c r="CR22" i="2"/>
  <c r="AQ14" i="2"/>
  <c r="BK14" i="2" s="1"/>
  <c r="AX21" i="2"/>
  <c r="BR21" i="2" s="1"/>
  <c r="CP20" i="2"/>
  <c r="BG30" i="2"/>
  <c r="CA30" i="2" s="1"/>
  <c r="CY29" i="2"/>
  <c r="BA24" i="2"/>
  <c r="BU24" i="2" s="1"/>
  <c r="CS23" i="2"/>
  <c r="AX75" i="1"/>
  <c r="AW78" i="1"/>
  <c r="Y78" i="1"/>
  <c r="X75" i="1"/>
  <c r="Z75" i="1"/>
  <c r="Z76" i="1"/>
  <c r="C42" i="1"/>
  <c r="AR42" i="1" s="1"/>
  <c r="BR41" i="1"/>
  <c r="E79" i="1"/>
  <c r="BO79" i="1" s="1"/>
  <c r="B55" i="2" l="1"/>
  <c r="CE54" i="2"/>
  <c r="CJ15" i="2"/>
  <c r="CJ14" i="2"/>
  <c r="BC27" i="2"/>
  <c r="BW27" i="2" s="1"/>
  <c r="CU26" i="2"/>
  <c r="BE29" i="2"/>
  <c r="BY29" i="2" s="1"/>
  <c r="CW28" i="2"/>
  <c r="AV20" i="2"/>
  <c r="BP20" i="2" s="1"/>
  <c r="CN19" i="2"/>
  <c r="AU19" i="2"/>
  <c r="BO19" i="2" s="1"/>
  <c r="CM18" i="2"/>
  <c r="BA25" i="2"/>
  <c r="BU25" i="2" s="1"/>
  <c r="CS24" i="2"/>
  <c r="AW21" i="2"/>
  <c r="BQ21" i="2" s="1"/>
  <c r="CO20" i="2"/>
  <c r="AY23" i="2"/>
  <c r="BS23" i="2" s="1"/>
  <c r="CQ22" i="2"/>
  <c r="AX22" i="2"/>
  <c r="BR22" i="2" s="1"/>
  <c r="CP21" i="2"/>
  <c r="CI14" i="2"/>
  <c r="AQ15" i="2"/>
  <c r="BK15" i="2" s="1"/>
  <c r="AZ24" i="2"/>
  <c r="BT24" i="2" s="1"/>
  <c r="CR23" i="2"/>
  <c r="CX29" i="2"/>
  <c r="BF30" i="2"/>
  <c r="BZ30" i="2" s="1"/>
  <c r="AT18" i="2"/>
  <c r="BN18" i="2" s="1"/>
  <c r="CL17" i="2"/>
  <c r="CZ31" i="2"/>
  <c r="BH32" i="2"/>
  <c r="CB32" i="2" s="1"/>
  <c r="BD28" i="2"/>
  <c r="BX28" i="2" s="1"/>
  <c r="CV27" i="2"/>
  <c r="BG31" i="2"/>
  <c r="CA31" i="2" s="1"/>
  <c r="CY30" i="2"/>
  <c r="AR16" i="2"/>
  <c r="BI33" i="2"/>
  <c r="CC33" i="2" s="1"/>
  <c r="DA32" i="2"/>
  <c r="CT25" i="2"/>
  <c r="BB26" i="2"/>
  <c r="BV26" i="2" s="1"/>
  <c r="AW79" i="1"/>
  <c r="Y80" i="1"/>
  <c r="Y79" i="1"/>
  <c r="C43" i="1"/>
  <c r="AR43" i="1" s="1"/>
  <c r="BR42" i="1"/>
  <c r="E81" i="1"/>
  <c r="BO81" i="1" s="1"/>
  <c r="DB14" i="2" l="1"/>
  <c r="DC14" i="2" s="1"/>
  <c r="AR17" i="2"/>
  <c r="AR18" i="2" s="1"/>
  <c r="AR19" i="2" s="1"/>
  <c r="BL16" i="2"/>
  <c r="B56" i="2"/>
  <c r="CE55" i="2"/>
  <c r="CK16" i="2"/>
  <c r="AT19" i="2"/>
  <c r="BN19" i="2" s="1"/>
  <c r="CL18" i="2"/>
  <c r="AU20" i="2"/>
  <c r="BO20" i="2" s="1"/>
  <c r="CM19" i="2"/>
  <c r="BF31" i="2"/>
  <c r="BZ31" i="2" s="1"/>
  <c r="CX30" i="2"/>
  <c r="AX23" i="2"/>
  <c r="BR23" i="2" s="1"/>
  <c r="CP22" i="2"/>
  <c r="BB27" i="2"/>
  <c r="BV27" i="2" s="1"/>
  <c r="CT26" i="2"/>
  <c r="AV21" i="2"/>
  <c r="BP21" i="2" s="1"/>
  <c r="CN20" i="2"/>
  <c r="BD29" i="2"/>
  <c r="BX29" i="2" s="1"/>
  <c r="CV28" i="2"/>
  <c r="AZ25" i="2"/>
  <c r="BT25" i="2" s="1"/>
  <c r="CR24" i="2"/>
  <c r="AW22" i="2"/>
  <c r="BQ22" i="2" s="1"/>
  <c r="CO21" i="2"/>
  <c r="AY24" i="2"/>
  <c r="BS24" i="2" s="1"/>
  <c r="CQ23" i="2"/>
  <c r="CZ32" i="2"/>
  <c r="BH33" i="2"/>
  <c r="CB33" i="2" s="1"/>
  <c r="BE30" i="2"/>
  <c r="BY30" i="2" s="1"/>
  <c r="CW29" i="2"/>
  <c r="CS25" i="2"/>
  <c r="BA26" i="2"/>
  <c r="BU26" i="2" s="1"/>
  <c r="CY31" i="2"/>
  <c r="BG32" i="2"/>
  <c r="CA32" i="2" s="1"/>
  <c r="CI15" i="2"/>
  <c r="AQ16" i="2"/>
  <c r="BK16" i="2" s="1"/>
  <c r="BI34" i="2"/>
  <c r="CC34" i="2" s="1"/>
  <c r="DA33" i="2"/>
  <c r="BC28" i="2"/>
  <c r="BW28" i="2" s="1"/>
  <c r="CU27" i="2"/>
  <c r="AW81" i="1"/>
  <c r="Y81" i="1"/>
  <c r="C44" i="1"/>
  <c r="AR44" i="1" s="1"/>
  <c r="BR43" i="1"/>
  <c r="E82" i="1"/>
  <c r="BO82" i="1" s="1"/>
  <c r="DL14" i="2" l="1"/>
  <c r="BL17" i="2"/>
  <c r="B57" i="2"/>
  <c r="CE56" i="2"/>
  <c r="DB15" i="2"/>
  <c r="DC15" i="2" s="1"/>
  <c r="BL18" i="2"/>
  <c r="BL19" i="2" s="1"/>
  <c r="CK18" i="2"/>
  <c r="CK17" i="2"/>
  <c r="CJ16" i="2"/>
  <c r="AY25" i="2"/>
  <c r="BS25" i="2" s="1"/>
  <c r="CQ24" i="2"/>
  <c r="CX31" i="2"/>
  <c r="BF32" i="2"/>
  <c r="BZ32" i="2" s="1"/>
  <c r="BD30" i="2"/>
  <c r="BX30" i="2" s="1"/>
  <c r="CV29" i="2"/>
  <c r="CS26" i="2"/>
  <c r="BA27" i="2"/>
  <c r="BU27" i="2" s="1"/>
  <c r="AV22" i="2"/>
  <c r="BP22" i="2" s="1"/>
  <c r="CN21" i="2"/>
  <c r="BH34" i="2"/>
  <c r="CB34" i="2" s="1"/>
  <c r="CZ33" i="2"/>
  <c r="CY32" i="2"/>
  <c r="BG33" i="2"/>
  <c r="CA33" i="2" s="1"/>
  <c r="AW23" i="2"/>
  <c r="BQ23" i="2" s="1"/>
  <c r="CO22" i="2"/>
  <c r="AU21" i="2"/>
  <c r="BO21" i="2" s="1"/>
  <c r="CM20" i="2"/>
  <c r="CI16" i="2"/>
  <c r="AQ17" i="2"/>
  <c r="AQ18" i="2" s="1"/>
  <c r="AQ19" i="2" s="1"/>
  <c r="BC29" i="2"/>
  <c r="BW29" i="2" s="1"/>
  <c r="CU28" i="2"/>
  <c r="BB28" i="2"/>
  <c r="BV28" i="2" s="1"/>
  <c r="CT27" i="2"/>
  <c r="AX24" i="2"/>
  <c r="BR24" i="2" s="1"/>
  <c r="CP23" i="2"/>
  <c r="BI35" i="2"/>
  <c r="CC35" i="2" s="1"/>
  <c r="DA34" i="2"/>
  <c r="CW30" i="2"/>
  <c r="BE31" i="2"/>
  <c r="BY31" i="2" s="1"/>
  <c r="CR25" i="2"/>
  <c r="AZ26" i="2"/>
  <c r="BT26" i="2" s="1"/>
  <c r="CL19" i="2"/>
  <c r="AT20" i="2"/>
  <c r="BN20" i="2" s="1"/>
  <c r="AS19" i="2"/>
  <c r="BM19" i="2" s="1"/>
  <c r="AW82" i="1"/>
  <c r="Y82" i="1"/>
  <c r="C45" i="1"/>
  <c r="AR45" i="1" s="1"/>
  <c r="BR44" i="1"/>
  <c r="E83" i="1"/>
  <c r="BO83" i="1" s="1"/>
  <c r="DL15" i="2" l="1"/>
  <c r="B58" i="2"/>
  <c r="CE57" i="2"/>
  <c r="DB16" i="2"/>
  <c r="DC16" i="2" s="1"/>
  <c r="BK17" i="2"/>
  <c r="BK18" i="2" s="1"/>
  <c r="BK19" i="2" s="1"/>
  <c r="CJ17" i="2"/>
  <c r="BB29" i="2"/>
  <c r="BV29" i="2" s="1"/>
  <c r="CT28" i="2"/>
  <c r="AW24" i="2"/>
  <c r="BQ24" i="2" s="1"/>
  <c r="CO23" i="2"/>
  <c r="BH35" i="2"/>
  <c r="CB35" i="2" s="1"/>
  <c r="CZ34" i="2"/>
  <c r="CW31" i="2"/>
  <c r="BE32" i="2"/>
  <c r="BY32" i="2" s="1"/>
  <c r="CU29" i="2"/>
  <c r="BC30" i="2"/>
  <c r="BW30" i="2" s="1"/>
  <c r="CX32" i="2"/>
  <c r="BF33" i="2"/>
  <c r="BZ33" i="2" s="1"/>
  <c r="BI36" i="2"/>
  <c r="CC36" i="2" s="1"/>
  <c r="DA35" i="2"/>
  <c r="AT21" i="2"/>
  <c r="BN21" i="2" s="1"/>
  <c r="BN22" i="2" s="1"/>
  <c r="CL20" i="2"/>
  <c r="AU22" i="2"/>
  <c r="BO22" i="2" s="1"/>
  <c r="CM21" i="2"/>
  <c r="AV23" i="2"/>
  <c r="BP23" i="2" s="1"/>
  <c r="CN22" i="2"/>
  <c r="CQ25" i="2"/>
  <c r="AY26" i="2"/>
  <c r="BS26" i="2" s="1"/>
  <c r="BG34" i="2"/>
  <c r="CA34" i="2" s="1"/>
  <c r="CY33" i="2"/>
  <c r="BD31" i="2"/>
  <c r="BX31" i="2" s="1"/>
  <c r="CV30" i="2"/>
  <c r="AS20" i="2"/>
  <c r="BM20" i="2" s="1"/>
  <c r="CK19" i="2"/>
  <c r="AX25" i="2"/>
  <c r="BR25" i="2" s="1"/>
  <c r="CP24" i="2"/>
  <c r="AZ27" i="2"/>
  <c r="BT27" i="2" s="1"/>
  <c r="CR26" i="2"/>
  <c r="CS27" i="2"/>
  <c r="BA28" i="2"/>
  <c r="BU28" i="2" s="1"/>
  <c r="AW83" i="1"/>
  <c r="Y83" i="1"/>
  <c r="C46" i="1"/>
  <c r="AR46" i="1" s="1"/>
  <c r="BR45" i="1"/>
  <c r="E84" i="1"/>
  <c r="BO84" i="1" s="1"/>
  <c r="DL16" i="2" l="1"/>
  <c r="B59" i="2"/>
  <c r="CE58" i="2"/>
  <c r="CL22" i="2"/>
  <c r="CL21" i="2"/>
  <c r="CI17" i="2"/>
  <c r="CJ19" i="2"/>
  <c r="CJ18" i="2"/>
  <c r="CW32" i="2"/>
  <c r="BE33" i="2"/>
  <c r="BY33" i="2" s="1"/>
  <c r="BH36" i="2"/>
  <c r="CB36" i="2" s="1"/>
  <c r="CZ35" i="2"/>
  <c r="AY27" i="2"/>
  <c r="BS27" i="2" s="1"/>
  <c r="CQ26" i="2"/>
  <c r="AS21" i="2"/>
  <c r="CK20" i="2"/>
  <c r="AR20" i="2"/>
  <c r="BL20" i="2" s="1"/>
  <c r="BI37" i="2"/>
  <c r="CC37" i="2" s="1"/>
  <c r="DA36" i="2"/>
  <c r="BA29" i="2"/>
  <c r="BU29" i="2" s="1"/>
  <c r="CS28" i="2"/>
  <c r="AW25" i="2"/>
  <c r="BQ25" i="2" s="1"/>
  <c r="CO24" i="2"/>
  <c r="AV24" i="2"/>
  <c r="BP24" i="2" s="1"/>
  <c r="CN23" i="2"/>
  <c r="AU23" i="2"/>
  <c r="BO23" i="2" s="1"/>
  <c r="CM22" i="2"/>
  <c r="CU30" i="2"/>
  <c r="BC31" i="2"/>
  <c r="BW31" i="2" s="1"/>
  <c r="BG35" i="2"/>
  <c r="CA35" i="2" s="1"/>
  <c r="CY34" i="2"/>
  <c r="CP25" i="2"/>
  <c r="AX26" i="2"/>
  <c r="BR26" i="2" s="1"/>
  <c r="BF34" i="2"/>
  <c r="BZ34" i="2" s="1"/>
  <c r="CX33" i="2"/>
  <c r="CV31" i="2"/>
  <c r="BD32" i="2"/>
  <c r="BX32" i="2" s="1"/>
  <c r="AZ28" i="2"/>
  <c r="BT28" i="2" s="1"/>
  <c r="CR27" i="2"/>
  <c r="CT29" i="2"/>
  <c r="BB30" i="2"/>
  <c r="BV30" i="2" s="1"/>
  <c r="AW84" i="1"/>
  <c r="Y85" i="1"/>
  <c r="Y84" i="1"/>
  <c r="C47" i="1"/>
  <c r="AR47" i="1" s="1"/>
  <c r="BR46" i="1"/>
  <c r="DB17" i="2" l="1"/>
  <c r="DC17" i="2" s="1"/>
  <c r="AS22" i="2"/>
  <c r="AS23" i="2" s="1"/>
  <c r="BM21" i="2"/>
  <c r="B60" i="2"/>
  <c r="CE59" i="2"/>
  <c r="CI19" i="2"/>
  <c r="CI18" i="2"/>
  <c r="CO25" i="2"/>
  <c r="AW26" i="2"/>
  <c r="BQ26" i="2" s="1"/>
  <c r="BA30" i="2"/>
  <c r="BU30" i="2" s="1"/>
  <c r="CS29" i="2"/>
  <c r="BG36" i="2"/>
  <c r="CA36" i="2" s="1"/>
  <c r="CY35" i="2"/>
  <c r="CU31" i="2"/>
  <c r="BC32" i="2"/>
  <c r="BW32" i="2" s="1"/>
  <c r="BF35" i="2"/>
  <c r="BZ35" i="2" s="1"/>
  <c r="CX34" i="2"/>
  <c r="BH37" i="2"/>
  <c r="CB37" i="2" s="1"/>
  <c r="CZ36" i="2"/>
  <c r="CT30" i="2"/>
  <c r="BB31" i="2"/>
  <c r="BV31" i="2" s="1"/>
  <c r="BE34" i="2"/>
  <c r="BY34" i="2" s="1"/>
  <c r="CW33" i="2"/>
  <c r="AZ29" i="2"/>
  <c r="BT29" i="2" s="1"/>
  <c r="CR28" i="2"/>
  <c r="CV32" i="2"/>
  <c r="BD33" i="2"/>
  <c r="BX33" i="2" s="1"/>
  <c r="AY28" i="2"/>
  <c r="BS28" i="2" s="1"/>
  <c r="CQ27" i="2"/>
  <c r="CM23" i="2"/>
  <c r="AU24" i="2"/>
  <c r="BO24" i="2" s="1"/>
  <c r="AT23" i="2"/>
  <c r="BN23" i="2" s="1"/>
  <c r="AX27" i="2"/>
  <c r="BR27" i="2" s="1"/>
  <c r="CP26" i="2"/>
  <c r="BI38" i="2"/>
  <c r="CC38" i="2" s="1"/>
  <c r="DA37" i="2"/>
  <c r="AV25" i="2"/>
  <c r="BP25" i="2" s="1"/>
  <c r="CN24" i="2"/>
  <c r="AR21" i="2"/>
  <c r="AQ20" i="2"/>
  <c r="BK20" i="2" s="1"/>
  <c r="C48" i="1"/>
  <c r="AR48" i="1" s="1"/>
  <c r="BR47" i="1"/>
  <c r="DL17" i="2" l="1"/>
  <c r="AR22" i="2"/>
  <c r="AR23" i="2" s="1"/>
  <c r="BM22" i="2"/>
  <c r="BM23" i="2" s="1"/>
  <c r="BL21" i="2"/>
  <c r="B61" i="2"/>
  <c r="CE60" i="2"/>
  <c r="DB19" i="2"/>
  <c r="DC19" i="2" s="1"/>
  <c r="DB18" i="2"/>
  <c r="DC18" i="2" s="1"/>
  <c r="CK21" i="2"/>
  <c r="CJ20" i="2"/>
  <c r="AY29" i="2"/>
  <c r="BS29" i="2" s="1"/>
  <c r="CQ28" i="2"/>
  <c r="BD34" i="2"/>
  <c r="BX34" i="2" s="1"/>
  <c r="CV33" i="2"/>
  <c r="CP27" i="2"/>
  <c r="AX28" i="2"/>
  <c r="BR28" i="2" s="1"/>
  <c r="AT24" i="2"/>
  <c r="BN24" i="2" s="1"/>
  <c r="BN25" i="2" s="1"/>
  <c r="BN26" i="2" s="1"/>
  <c r="CL23" i="2"/>
  <c r="AW27" i="2"/>
  <c r="BQ27" i="2" s="1"/>
  <c r="CO26" i="2"/>
  <c r="BI39" i="2"/>
  <c r="CC39" i="2" s="1"/>
  <c r="DA38" i="2"/>
  <c r="AQ21" i="2"/>
  <c r="AQ22" i="2" s="1"/>
  <c r="AQ23" i="2" s="1"/>
  <c r="CI20" i="2"/>
  <c r="BH38" i="2"/>
  <c r="CB38" i="2" s="1"/>
  <c r="CZ37" i="2"/>
  <c r="AU25" i="2"/>
  <c r="BO25" i="2" s="1"/>
  <c r="CM24" i="2"/>
  <c r="BE35" i="2"/>
  <c r="BY35" i="2" s="1"/>
  <c r="CW34" i="2"/>
  <c r="BF36" i="2"/>
  <c r="BZ36" i="2" s="1"/>
  <c r="CX35" i="2"/>
  <c r="BG37" i="2"/>
  <c r="CA37" i="2" s="1"/>
  <c r="CY36" i="2"/>
  <c r="AZ30" i="2"/>
  <c r="BT30" i="2" s="1"/>
  <c r="CR29" i="2"/>
  <c r="BA31" i="2"/>
  <c r="BU31" i="2" s="1"/>
  <c r="CS30" i="2"/>
  <c r="CN25" i="2"/>
  <c r="AV26" i="2"/>
  <c r="BP26" i="2" s="1"/>
  <c r="CT31" i="2"/>
  <c r="BB32" i="2"/>
  <c r="BV32" i="2" s="1"/>
  <c r="CU32" i="2"/>
  <c r="BC33" i="2"/>
  <c r="BW33" i="2" s="1"/>
  <c r="C49" i="1"/>
  <c r="AR49" i="1" s="1"/>
  <c r="BR48" i="1"/>
  <c r="DL19" i="2" l="1"/>
  <c r="BL22" i="2"/>
  <c r="BL23" i="2" s="1"/>
  <c r="CJ23" i="2" s="1"/>
  <c r="DL18" i="2"/>
  <c r="CJ22" i="2"/>
  <c r="CJ21" i="2"/>
  <c r="B62" i="2"/>
  <c r="CE61" i="2"/>
  <c r="DB20" i="2"/>
  <c r="DC20" i="2" s="1"/>
  <c r="BK21" i="2"/>
  <c r="BK22" i="2" s="1"/>
  <c r="BK23" i="2" s="1"/>
  <c r="CK22" i="2"/>
  <c r="CK23" i="2"/>
  <c r="AS24" i="2"/>
  <c r="BM24" i="2" s="1"/>
  <c r="AX29" i="2"/>
  <c r="BR29" i="2" s="1"/>
  <c r="CP28" i="2"/>
  <c r="BF37" i="2"/>
  <c r="BZ37" i="2" s="1"/>
  <c r="CX36" i="2"/>
  <c r="CS31" i="2"/>
  <c r="BA32" i="2"/>
  <c r="BU32" i="2" s="1"/>
  <c r="BC34" i="2"/>
  <c r="BW34" i="2" s="1"/>
  <c r="CU33" i="2"/>
  <c r="AZ31" i="2"/>
  <c r="BT31" i="2" s="1"/>
  <c r="CR30" i="2"/>
  <c r="CO27" i="2"/>
  <c r="AW28" i="2"/>
  <c r="BQ28" i="2" s="1"/>
  <c r="BD35" i="2"/>
  <c r="BX35" i="2" s="1"/>
  <c r="CV34" i="2"/>
  <c r="BI40" i="2"/>
  <c r="CC40" i="2" s="1"/>
  <c r="DA39" i="2"/>
  <c r="CT32" i="2"/>
  <c r="BB33" i="2"/>
  <c r="BV33" i="2" s="1"/>
  <c r="BG38" i="2"/>
  <c r="CA38" i="2" s="1"/>
  <c r="CY37" i="2"/>
  <c r="BE36" i="2"/>
  <c r="BY36" i="2" s="1"/>
  <c r="CW35" i="2"/>
  <c r="CM25" i="2"/>
  <c r="AU26" i="2"/>
  <c r="BO26" i="2" s="1"/>
  <c r="BH39" i="2"/>
  <c r="CB39" i="2" s="1"/>
  <c r="CZ38" i="2"/>
  <c r="CN26" i="2"/>
  <c r="AV27" i="2"/>
  <c r="BP27" i="2" s="1"/>
  <c r="AY30" i="2"/>
  <c r="BS30" i="2" s="1"/>
  <c r="CQ29" i="2"/>
  <c r="C50" i="1"/>
  <c r="AR50" i="1" s="1"/>
  <c r="BR49" i="1"/>
  <c r="DL20" i="2" l="1"/>
  <c r="B63" i="2"/>
  <c r="CE62" i="2"/>
  <c r="CL24" i="2"/>
  <c r="CI21" i="2"/>
  <c r="BG39" i="2"/>
  <c r="CA39" i="2" s="1"/>
  <c r="CY38" i="2"/>
  <c r="BF38" i="2"/>
  <c r="BZ38" i="2" s="1"/>
  <c r="CX37" i="2"/>
  <c r="CR31" i="2"/>
  <c r="AZ32" i="2"/>
  <c r="BT32" i="2" s="1"/>
  <c r="CP29" i="2"/>
  <c r="AX30" i="2"/>
  <c r="BR30" i="2" s="1"/>
  <c r="AW29" i="2"/>
  <c r="BQ29" i="2" s="1"/>
  <c r="CO28" i="2"/>
  <c r="AS25" i="2"/>
  <c r="AS26" i="2" s="1"/>
  <c r="AS27" i="2" s="1"/>
  <c r="AR24" i="2"/>
  <c r="BL24" i="2" s="1"/>
  <c r="CK24" i="2"/>
  <c r="BH40" i="2"/>
  <c r="CB40" i="2" s="1"/>
  <c r="CZ39" i="2"/>
  <c r="BI41" i="2"/>
  <c r="CC41" i="2" s="1"/>
  <c r="DA40" i="2"/>
  <c r="BC35" i="2"/>
  <c r="BW35" i="2" s="1"/>
  <c r="CU34" i="2"/>
  <c r="BB34" i="2"/>
  <c r="BV34" i="2" s="1"/>
  <c r="CT33" i="2"/>
  <c r="CS32" i="2"/>
  <c r="BA33" i="2"/>
  <c r="BU33" i="2" s="1"/>
  <c r="AV28" i="2"/>
  <c r="BP28" i="2" s="1"/>
  <c r="CN27" i="2"/>
  <c r="CM26" i="2"/>
  <c r="AU27" i="2"/>
  <c r="BO27" i="2" s="1"/>
  <c r="AY31" i="2"/>
  <c r="BS31" i="2" s="1"/>
  <c r="CQ30" i="2"/>
  <c r="BE37" i="2"/>
  <c r="BY37" i="2" s="1"/>
  <c r="CW36" i="2"/>
  <c r="BD36" i="2"/>
  <c r="BX36" i="2" s="1"/>
  <c r="CV35" i="2"/>
  <c r="C51" i="1"/>
  <c r="AR51" i="1" s="1"/>
  <c r="BR50" i="1"/>
  <c r="DB21" i="2" l="1"/>
  <c r="DC21" i="2" s="1"/>
  <c r="B64" i="2"/>
  <c r="CE63" i="2"/>
  <c r="BM25" i="2"/>
  <c r="BM26" i="2" s="1"/>
  <c r="BM27" i="2" s="1"/>
  <c r="CL26" i="2"/>
  <c r="CL25" i="2"/>
  <c r="CI23" i="2"/>
  <c r="CI22" i="2"/>
  <c r="AV29" i="2"/>
  <c r="BP29" i="2" s="1"/>
  <c r="CN28" i="2"/>
  <c r="BA34" i="2"/>
  <c r="BU34" i="2" s="1"/>
  <c r="CS33" i="2"/>
  <c r="BD37" i="2"/>
  <c r="BX37" i="2" s="1"/>
  <c r="CV36" i="2"/>
  <c r="BI42" i="2"/>
  <c r="CC42" i="2" s="1"/>
  <c r="DA41" i="2"/>
  <c r="CR32" i="2"/>
  <c r="AZ33" i="2"/>
  <c r="BT33" i="2" s="1"/>
  <c r="CQ31" i="2"/>
  <c r="AY32" i="2"/>
  <c r="BS32" i="2" s="1"/>
  <c r="AR25" i="2"/>
  <c r="BL25" i="2" s="1"/>
  <c r="CJ24" i="2"/>
  <c r="AQ24" i="2"/>
  <c r="BK24" i="2" s="1"/>
  <c r="BC36" i="2"/>
  <c r="BW36" i="2" s="1"/>
  <c r="CU35" i="2"/>
  <c r="CP30" i="2"/>
  <c r="AX31" i="2"/>
  <c r="BR31" i="2" s="1"/>
  <c r="BE38" i="2"/>
  <c r="BY38" i="2" s="1"/>
  <c r="CW37" i="2"/>
  <c r="BH41" i="2"/>
  <c r="CB41" i="2" s="1"/>
  <c r="CZ40" i="2"/>
  <c r="BB35" i="2"/>
  <c r="BV35" i="2" s="1"/>
  <c r="CT34" i="2"/>
  <c r="CM27" i="2"/>
  <c r="AU28" i="2"/>
  <c r="BO28" i="2" s="1"/>
  <c r="AT27" i="2"/>
  <c r="BN27" i="2" s="1"/>
  <c r="BF39" i="2"/>
  <c r="BZ39" i="2" s="1"/>
  <c r="CX38" i="2"/>
  <c r="AW30" i="2"/>
  <c r="BQ30" i="2" s="1"/>
  <c r="CO29" i="2"/>
  <c r="BG40" i="2"/>
  <c r="CA40" i="2" s="1"/>
  <c r="CY39" i="2"/>
  <c r="C52" i="1"/>
  <c r="AR52" i="1" s="1"/>
  <c r="BR51" i="1"/>
  <c r="DL21" i="2" l="1"/>
  <c r="B65" i="2"/>
  <c r="CE64" i="2"/>
  <c r="DB23" i="2"/>
  <c r="DC23" i="2" s="1"/>
  <c r="DB22" i="2"/>
  <c r="DC22" i="2" s="1"/>
  <c r="CK25" i="2"/>
  <c r="BF40" i="2"/>
  <c r="BZ40" i="2" s="1"/>
  <c r="CX39" i="2"/>
  <c r="CP31" i="2"/>
  <c r="AX32" i="2"/>
  <c r="BR32" i="2" s="1"/>
  <c r="BD38" i="2"/>
  <c r="BX38" i="2" s="1"/>
  <c r="CV37" i="2"/>
  <c r="BH42" i="2"/>
  <c r="CB42" i="2" s="1"/>
  <c r="CZ41" i="2"/>
  <c r="CL27" i="2"/>
  <c r="AT28" i="2"/>
  <c r="BN28" i="2" s="1"/>
  <c r="BN29" i="2" s="1"/>
  <c r="BN30" i="2" s="1"/>
  <c r="BN31" i="2" s="1"/>
  <c r="BE39" i="2"/>
  <c r="BY39" i="2" s="1"/>
  <c r="CW38" i="2"/>
  <c r="AZ34" i="2"/>
  <c r="BT34" i="2" s="1"/>
  <c r="CR33" i="2"/>
  <c r="BA35" i="2"/>
  <c r="BU35" i="2" s="1"/>
  <c r="CS34" i="2"/>
  <c r="AU29" i="2"/>
  <c r="BO29" i="2" s="1"/>
  <c r="CM28" i="2"/>
  <c r="AW31" i="2"/>
  <c r="BQ31" i="2" s="1"/>
  <c r="CO30" i="2"/>
  <c r="BC37" i="2"/>
  <c r="BW37" i="2" s="1"/>
  <c r="CU36" i="2"/>
  <c r="CJ25" i="2"/>
  <c r="AR26" i="2"/>
  <c r="BL26" i="2" s="1"/>
  <c r="CQ32" i="2"/>
  <c r="AY33" i="2"/>
  <c r="BS33" i="2" s="1"/>
  <c r="BG41" i="2"/>
  <c r="CA41" i="2" s="1"/>
  <c r="CY40" i="2"/>
  <c r="BB36" i="2"/>
  <c r="BV36" i="2" s="1"/>
  <c r="CT35" i="2"/>
  <c r="AQ25" i="2"/>
  <c r="BK25" i="2" s="1"/>
  <c r="CI24" i="2"/>
  <c r="BI43" i="2"/>
  <c r="CC43" i="2" s="1"/>
  <c r="DA42" i="2"/>
  <c r="CN29" i="2"/>
  <c r="AV30" i="2"/>
  <c r="BP30" i="2" s="1"/>
  <c r="C53" i="1"/>
  <c r="AR53" i="1" s="1"/>
  <c r="BR52" i="1"/>
  <c r="DL22" i="2" l="1"/>
  <c r="DL23" i="2"/>
  <c r="B66" i="2"/>
  <c r="CE65" i="2"/>
  <c r="DB24" i="2"/>
  <c r="DC24" i="2" s="1"/>
  <c r="CK26" i="2"/>
  <c r="CK27" i="2"/>
  <c r="CI25" i="2"/>
  <c r="AQ26" i="2"/>
  <c r="BK26" i="2" s="1"/>
  <c r="AZ35" i="2"/>
  <c r="BT35" i="2" s="1"/>
  <c r="CR34" i="2"/>
  <c r="BD39" i="2"/>
  <c r="BX39" i="2" s="1"/>
  <c r="CV38" i="2"/>
  <c r="BH43" i="2"/>
  <c r="CB43" i="2" s="1"/>
  <c r="CZ42" i="2"/>
  <c r="AV31" i="2"/>
  <c r="BP31" i="2" s="1"/>
  <c r="CN30" i="2"/>
  <c r="AR27" i="2"/>
  <c r="BL27" i="2" s="1"/>
  <c r="CJ26" i="2"/>
  <c r="BC38" i="2"/>
  <c r="BW38" i="2" s="1"/>
  <c r="CU37" i="2"/>
  <c r="CP32" i="2"/>
  <c r="AX33" i="2"/>
  <c r="BR33" i="2" s="1"/>
  <c r="CO31" i="2"/>
  <c r="AW32" i="2"/>
  <c r="BQ32" i="2" s="1"/>
  <c r="AS28" i="2"/>
  <c r="BM28" i="2" s="1"/>
  <c r="BA36" i="2"/>
  <c r="BU36" i="2" s="1"/>
  <c r="CS35" i="2"/>
  <c r="BB37" i="2"/>
  <c r="BV37" i="2" s="1"/>
  <c r="CT36" i="2"/>
  <c r="BG42" i="2"/>
  <c r="CA42" i="2" s="1"/>
  <c r="CY41" i="2"/>
  <c r="BE40" i="2"/>
  <c r="BY40" i="2" s="1"/>
  <c r="CW39" i="2"/>
  <c r="AY34" i="2"/>
  <c r="BS34" i="2" s="1"/>
  <c r="CQ33" i="2"/>
  <c r="BI44" i="2"/>
  <c r="CC44" i="2" s="1"/>
  <c r="DA43" i="2"/>
  <c r="CM29" i="2"/>
  <c r="AU30" i="2"/>
  <c r="BO30" i="2" s="1"/>
  <c r="BF41" i="2"/>
  <c r="BZ41" i="2" s="1"/>
  <c r="CX40" i="2"/>
  <c r="C54" i="1"/>
  <c r="AR54" i="1" s="1"/>
  <c r="BR53" i="1"/>
  <c r="DL24" i="2" l="1"/>
  <c r="B67" i="2"/>
  <c r="CE66" i="2"/>
  <c r="DB25" i="2"/>
  <c r="DC25" i="2" s="1"/>
  <c r="CL28" i="2"/>
  <c r="BI45" i="2"/>
  <c r="CC45" i="2" s="1"/>
  <c r="DA44" i="2"/>
  <c r="BA37" i="2"/>
  <c r="BU37" i="2" s="1"/>
  <c r="CS36" i="2"/>
  <c r="BC39" i="2"/>
  <c r="BW39" i="2" s="1"/>
  <c r="CU38" i="2"/>
  <c r="BD40" i="2"/>
  <c r="BX40" i="2" s="1"/>
  <c r="CV39" i="2"/>
  <c r="BB38" i="2"/>
  <c r="BV38" i="2" s="1"/>
  <c r="CT37" i="2"/>
  <c r="BE41" i="2"/>
  <c r="BY41" i="2" s="1"/>
  <c r="CW40" i="2"/>
  <c r="CJ27" i="2"/>
  <c r="AR28" i="2"/>
  <c r="BL28" i="2" s="1"/>
  <c r="AZ36" i="2"/>
  <c r="BT36" i="2" s="1"/>
  <c r="CR35" i="2"/>
  <c r="BH44" i="2"/>
  <c r="CB44" i="2" s="1"/>
  <c r="CZ43" i="2"/>
  <c r="AY35" i="2"/>
  <c r="BS35" i="2" s="1"/>
  <c r="CQ34" i="2"/>
  <c r="CK28" i="2"/>
  <c r="AS29" i="2"/>
  <c r="AS30" i="2" s="1"/>
  <c r="AS31" i="2" s="1"/>
  <c r="BF42" i="2"/>
  <c r="BZ42" i="2" s="1"/>
  <c r="CX41" i="2"/>
  <c r="AU31" i="2"/>
  <c r="BO31" i="2" s="1"/>
  <c r="CM30" i="2"/>
  <c r="CO32" i="2"/>
  <c r="AW33" i="2"/>
  <c r="BQ33" i="2" s="1"/>
  <c r="AQ27" i="2"/>
  <c r="BK27" i="2" s="1"/>
  <c r="CI26" i="2"/>
  <c r="AX34" i="2"/>
  <c r="BR34" i="2" s="1"/>
  <c r="CP33" i="2"/>
  <c r="BG43" i="2"/>
  <c r="CA43" i="2" s="1"/>
  <c r="CY42" i="2"/>
  <c r="CN31" i="2"/>
  <c r="AV32" i="2"/>
  <c r="BP32" i="2" s="1"/>
  <c r="C55" i="1"/>
  <c r="AR55" i="1" s="1"/>
  <c r="BR54" i="1"/>
  <c r="DL25" i="2" l="1"/>
  <c r="DB26" i="2"/>
  <c r="DC26" i="2" s="1"/>
  <c r="B68" i="2"/>
  <c r="CE67" i="2"/>
  <c r="BM29" i="2"/>
  <c r="BM30" i="2" s="1"/>
  <c r="BM31" i="2" s="1"/>
  <c r="CL29" i="2"/>
  <c r="CJ28" i="2"/>
  <c r="AR29" i="2"/>
  <c r="BL29" i="2" s="1"/>
  <c r="AZ37" i="2"/>
  <c r="BT37" i="2" s="1"/>
  <c r="CR36" i="2"/>
  <c r="BC40" i="2"/>
  <c r="BW40" i="2" s="1"/>
  <c r="CU39" i="2"/>
  <c r="AX35" i="2"/>
  <c r="BR35" i="2" s="1"/>
  <c r="CP34" i="2"/>
  <c r="BF43" i="2"/>
  <c r="BZ43" i="2" s="1"/>
  <c r="CX42" i="2"/>
  <c r="AY36" i="2"/>
  <c r="BS36" i="2" s="1"/>
  <c r="CQ35" i="2"/>
  <c r="BE42" i="2"/>
  <c r="BY42" i="2" s="1"/>
  <c r="CW41" i="2"/>
  <c r="BA38" i="2"/>
  <c r="BU38" i="2" s="1"/>
  <c r="CS37" i="2"/>
  <c r="AW34" i="2"/>
  <c r="BQ34" i="2" s="1"/>
  <c r="CO33" i="2"/>
  <c r="BD41" i="2"/>
  <c r="BX41" i="2" s="1"/>
  <c r="CV40" i="2"/>
  <c r="CI27" i="2"/>
  <c r="AQ28" i="2"/>
  <c r="BK28" i="2" s="1"/>
  <c r="CN32" i="2"/>
  <c r="AV33" i="2"/>
  <c r="BP33" i="2" s="1"/>
  <c r="BG44" i="2"/>
  <c r="CA44" i="2" s="1"/>
  <c r="CY43" i="2"/>
  <c r="CM31" i="2"/>
  <c r="AU32" i="2"/>
  <c r="BO32" i="2" s="1"/>
  <c r="BH45" i="2"/>
  <c r="CB45" i="2" s="1"/>
  <c r="CZ44" i="2"/>
  <c r="BB39" i="2"/>
  <c r="BV39" i="2" s="1"/>
  <c r="CT38" i="2"/>
  <c r="BI46" i="2"/>
  <c r="CC46" i="2" s="1"/>
  <c r="DA45" i="2"/>
  <c r="C56" i="1"/>
  <c r="AR56" i="1" s="1"/>
  <c r="BR55" i="1"/>
  <c r="DL26" i="2" l="1"/>
  <c r="DB27" i="2"/>
  <c r="DC27" i="2" s="1"/>
  <c r="B69" i="2"/>
  <c r="CE68" i="2"/>
  <c r="CK29" i="2"/>
  <c r="CL31" i="2"/>
  <c r="CL30" i="2"/>
  <c r="AX36" i="2"/>
  <c r="BR36" i="2" s="1"/>
  <c r="CP35" i="2"/>
  <c r="CM32" i="2"/>
  <c r="AU33" i="2"/>
  <c r="BO33" i="2" s="1"/>
  <c r="AT32" i="2"/>
  <c r="BN32" i="2" s="1"/>
  <c r="BC41" i="2"/>
  <c r="BW41" i="2" s="1"/>
  <c r="CU40" i="2"/>
  <c r="BA39" i="2"/>
  <c r="BU39" i="2" s="1"/>
  <c r="CS38" i="2"/>
  <c r="BG45" i="2"/>
  <c r="CA45" i="2" s="1"/>
  <c r="CY44" i="2"/>
  <c r="AW35" i="2"/>
  <c r="BQ35" i="2" s="1"/>
  <c r="CO34" i="2"/>
  <c r="AY37" i="2"/>
  <c r="BS37" i="2" s="1"/>
  <c r="CQ36" i="2"/>
  <c r="BD42" i="2"/>
  <c r="BX42" i="2" s="1"/>
  <c r="CV41" i="2"/>
  <c r="BI47" i="2"/>
  <c r="CC47" i="2" s="1"/>
  <c r="DA46" i="2"/>
  <c r="AV34" i="2"/>
  <c r="BP34" i="2" s="1"/>
  <c r="CN33" i="2"/>
  <c r="AZ38" i="2"/>
  <c r="BT38" i="2" s="1"/>
  <c r="CR37" i="2"/>
  <c r="BH46" i="2"/>
  <c r="CB46" i="2" s="1"/>
  <c r="CZ45" i="2"/>
  <c r="BE43" i="2"/>
  <c r="BY43" i="2" s="1"/>
  <c r="CW42" i="2"/>
  <c r="BB40" i="2"/>
  <c r="BV40" i="2" s="1"/>
  <c r="CT39" i="2"/>
  <c r="AR30" i="2"/>
  <c r="AR31" i="2" s="1"/>
  <c r="CJ29" i="2"/>
  <c r="AQ29" i="2"/>
  <c r="BK29" i="2" s="1"/>
  <c r="CI28" i="2"/>
  <c r="BF44" i="2"/>
  <c r="BZ44" i="2" s="1"/>
  <c r="CX43" i="2"/>
  <c r="C57" i="1"/>
  <c r="AR57" i="1" s="1"/>
  <c r="BR56" i="1"/>
  <c r="DL27" i="2" l="1"/>
  <c r="B70" i="2"/>
  <c r="CE69" i="2"/>
  <c r="DB28" i="2"/>
  <c r="DC28" i="2" s="1"/>
  <c r="BL30" i="2"/>
  <c r="BL31" i="2" s="1"/>
  <c r="CK31" i="2"/>
  <c r="CK30" i="2"/>
  <c r="BD43" i="2"/>
  <c r="BX43" i="2" s="1"/>
  <c r="CV42" i="2"/>
  <c r="CL32" i="2"/>
  <c r="AT33" i="2"/>
  <c r="BN33" i="2" s="1"/>
  <c r="AS32" i="2"/>
  <c r="BM32" i="2" s="1"/>
  <c r="AR32" i="2"/>
  <c r="CJ31" i="2"/>
  <c r="AV35" i="2"/>
  <c r="BP35" i="2" s="1"/>
  <c r="CN34" i="2"/>
  <c r="AU34" i="2"/>
  <c r="BO34" i="2" s="1"/>
  <c r="CM33" i="2"/>
  <c r="AQ30" i="2"/>
  <c r="AQ31" i="2" s="1"/>
  <c r="AY38" i="2"/>
  <c r="BS38" i="2" s="1"/>
  <c r="CQ37" i="2"/>
  <c r="AW36" i="2"/>
  <c r="BQ36" i="2" s="1"/>
  <c r="CO35" i="2"/>
  <c r="BA40" i="2"/>
  <c r="BU40" i="2" s="1"/>
  <c r="CS39" i="2"/>
  <c r="BC42" i="2"/>
  <c r="BW42" i="2" s="1"/>
  <c r="CU41" i="2"/>
  <c r="BB41" i="2"/>
  <c r="BV41" i="2" s="1"/>
  <c r="CT40" i="2"/>
  <c r="BE44" i="2"/>
  <c r="BY44" i="2" s="1"/>
  <c r="CW43" i="2"/>
  <c r="BI48" i="2"/>
  <c r="CC48" i="2" s="1"/>
  <c r="DA47" i="2"/>
  <c r="BG46" i="2"/>
  <c r="CA46" i="2" s="1"/>
  <c r="CY45" i="2"/>
  <c r="BH47" i="2"/>
  <c r="CB47" i="2" s="1"/>
  <c r="CZ46" i="2"/>
  <c r="AZ39" i="2"/>
  <c r="BT39" i="2" s="1"/>
  <c r="CR38" i="2"/>
  <c r="BF45" i="2"/>
  <c r="BZ45" i="2" s="1"/>
  <c r="CX44" i="2"/>
  <c r="AX37" i="2"/>
  <c r="BR37" i="2" s="1"/>
  <c r="CP36" i="2"/>
  <c r="C58" i="1"/>
  <c r="AR58" i="1" s="1"/>
  <c r="BR57" i="1"/>
  <c r="DL28" i="2" l="1"/>
  <c r="BL32" i="2"/>
  <c r="CJ32" i="2" s="1"/>
  <c r="B71" i="2"/>
  <c r="CE70" i="2"/>
  <c r="CJ30" i="2"/>
  <c r="BK30" i="2"/>
  <c r="BK31" i="2" s="1"/>
  <c r="CI31" i="2" s="1"/>
  <c r="CI30" i="2"/>
  <c r="CI29" i="2"/>
  <c r="AY39" i="2"/>
  <c r="BS39" i="2" s="1"/>
  <c r="CQ38" i="2"/>
  <c r="BG47" i="2"/>
  <c r="CA47" i="2" s="1"/>
  <c r="CY46" i="2"/>
  <c r="AT34" i="2"/>
  <c r="BN34" i="2" s="1"/>
  <c r="CL33" i="2"/>
  <c r="BB42" i="2"/>
  <c r="BV42" i="2" s="1"/>
  <c r="CT41" i="2"/>
  <c r="AX38" i="2"/>
  <c r="BR38" i="2" s="1"/>
  <c r="CP37" i="2"/>
  <c r="BI49" i="2"/>
  <c r="CC49" i="2" s="1"/>
  <c r="DA48" i="2"/>
  <c r="AU35" i="2"/>
  <c r="BO35" i="2" s="1"/>
  <c r="CM34" i="2"/>
  <c r="BH48" i="2"/>
  <c r="CB48" i="2" s="1"/>
  <c r="CZ47" i="2"/>
  <c r="BC43" i="2"/>
  <c r="BW43" i="2" s="1"/>
  <c r="CU42" i="2"/>
  <c r="BA41" i="2"/>
  <c r="BU41" i="2" s="1"/>
  <c r="CS40" i="2"/>
  <c r="BD44" i="2"/>
  <c r="BX44" i="2" s="1"/>
  <c r="CV43" i="2"/>
  <c r="CK32" i="2"/>
  <c r="AS33" i="2"/>
  <c r="BM33" i="2" s="1"/>
  <c r="BM34" i="2" s="1"/>
  <c r="AQ32" i="2"/>
  <c r="BF46" i="2"/>
  <c r="BZ46" i="2" s="1"/>
  <c r="CX45" i="2"/>
  <c r="AZ40" i="2"/>
  <c r="BT40" i="2" s="1"/>
  <c r="CR39" i="2"/>
  <c r="BE45" i="2"/>
  <c r="BY45" i="2" s="1"/>
  <c r="CW44" i="2"/>
  <c r="AW37" i="2"/>
  <c r="BQ37" i="2" s="1"/>
  <c r="CO36" i="2"/>
  <c r="AV36" i="2"/>
  <c r="BP36" i="2" s="1"/>
  <c r="CN35" i="2"/>
  <c r="C59" i="1"/>
  <c r="AR59" i="1" s="1"/>
  <c r="BR58" i="1"/>
  <c r="DB29" i="2" l="1"/>
  <c r="DC29" i="2" s="1"/>
  <c r="DB30" i="2"/>
  <c r="DC30" i="2" s="1"/>
  <c r="BK32" i="2"/>
  <c r="CI32" i="2" s="1"/>
  <c r="DB31" i="2"/>
  <c r="DC31" i="2" s="1"/>
  <c r="B72" i="2"/>
  <c r="CE71" i="2"/>
  <c r="BH49" i="2"/>
  <c r="CB49" i="2" s="1"/>
  <c r="CZ48" i="2"/>
  <c r="BB43" i="2"/>
  <c r="BV43" i="2" s="1"/>
  <c r="CT42" i="2"/>
  <c r="AR33" i="2"/>
  <c r="BL33" i="2" s="1"/>
  <c r="AT35" i="2"/>
  <c r="BN35" i="2" s="1"/>
  <c r="BN36" i="2" s="1"/>
  <c r="CL34" i="2"/>
  <c r="AU36" i="2"/>
  <c r="BO36" i="2" s="1"/>
  <c r="CM35" i="2"/>
  <c r="BF47" i="2"/>
  <c r="BZ47" i="2" s="1"/>
  <c r="CX46" i="2"/>
  <c r="BI50" i="2"/>
  <c r="CC50" i="2" s="1"/>
  <c r="DA49" i="2"/>
  <c r="BG48" i="2"/>
  <c r="CA48" i="2" s="1"/>
  <c r="CY47" i="2"/>
  <c r="BE46" i="2"/>
  <c r="BY46" i="2" s="1"/>
  <c r="CW45" i="2"/>
  <c r="AZ41" i="2"/>
  <c r="BT41" i="2" s="1"/>
  <c r="CR40" i="2"/>
  <c r="BA42" i="2"/>
  <c r="BU42" i="2" s="1"/>
  <c r="CS41" i="2"/>
  <c r="BD45" i="2"/>
  <c r="BX45" i="2" s="1"/>
  <c r="CV44" i="2"/>
  <c r="AV37" i="2"/>
  <c r="BP37" i="2" s="1"/>
  <c r="CN36" i="2"/>
  <c r="AW38" i="2"/>
  <c r="BQ38" i="2" s="1"/>
  <c r="CO37" i="2"/>
  <c r="BC44" i="2"/>
  <c r="BW44" i="2" s="1"/>
  <c r="CU43" i="2"/>
  <c r="AX39" i="2"/>
  <c r="BR39" i="2" s="1"/>
  <c r="CP38" i="2"/>
  <c r="AY40" i="2"/>
  <c r="BS40" i="2" s="1"/>
  <c r="CQ39" i="2"/>
  <c r="C60" i="1"/>
  <c r="AR60" i="1" s="1"/>
  <c r="BR59" i="1"/>
  <c r="DL30" i="2" l="1"/>
  <c r="DL31" i="2"/>
  <c r="DL29" i="2"/>
  <c r="AQ33" i="2"/>
  <c r="BK33" i="2" s="1"/>
  <c r="CI33" i="2" s="1"/>
  <c r="B73" i="2"/>
  <c r="CE72" i="2"/>
  <c r="DB32" i="2"/>
  <c r="DC32" i="2" s="1"/>
  <c r="CK34" i="2"/>
  <c r="CK33" i="2"/>
  <c r="BG49" i="2"/>
  <c r="CA49" i="2" s="1"/>
  <c r="CY48" i="2"/>
  <c r="AS35" i="2"/>
  <c r="BD46" i="2"/>
  <c r="BX46" i="2" s="1"/>
  <c r="CV45" i="2"/>
  <c r="BC45" i="2"/>
  <c r="BW45" i="2" s="1"/>
  <c r="CU44" i="2"/>
  <c r="CJ33" i="2"/>
  <c r="AR34" i="2"/>
  <c r="AW39" i="2"/>
  <c r="BQ39" i="2" s="1"/>
  <c r="CO38" i="2"/>
  <c r="BF48" i="2"/>
  <c r="BZ48" i="2" s="1"/>
  <c r="CX47" i="2"/>
  <c r="BB44" i="2"/>
  <c r="BV44" i="2" s="1"/>
  <c r="CT43" i="2"/>
  <c r="BI51" i="2"/>
  <c r="CC51" i="2" s="1"/>
  <c r="DA50" i="2"/>
  <c r="AZ42" i="2"/>
  <c r="BT42" i="2" s="1"/>
  <c r="CR41" i="2"/>
  <c r="BA43" i="2"/>
  <c r="BU43" i="2" s="1"/>
  <c r="CS42" i="2"/>
  <c r="AY41" i="2"/>
  <c r="BS41" i="2" s="1"/>
  <c r="CQ40" i="2"/>
  <c r="AX40" i="2"/>
  <c r="BR40" i="2" s="1"/>
  <c r="CP39" i="2"/>
  <c r="AV38" i="2"/>
  <c r="BP38" i="2" s="1"/>
  <c r="CN37" i="2"/>
  <c r="BE47" i="2"/>
  <c r="BY47" i="2" s="1"/>
  <c r="CW46" i="2"/>
  <c r="AU37" i="2"/>
  <c r="BO37" i="2" s="1"/>
  <c r="BO38" i="2" s="1"/>
  <c r="CM36" i="2"/>
  <c r="BH50" i="2"/>
  <c r="CB50" i="2" s="1"/>
  <c r="CZ49" i="2"/>
  <c r="C61" i="1"/>
  <c r="AR61" i="1" s="1"/>
  <c r="BR60" i="1"/>
  <c r="AQ34" i="2" l="1"/>
  <c r="DL32" i="2"/>
  <c r="AS36" i="2"/>
  <c r="BM35" i="2"/>
  <c r="B74" i="2"/>
  <c r="CE73" i="2"/>
  <c r="BK34" i="2"/>
  <c r="CI34" i="2" s="1"/>
  <c r="DB33" i="2"/>
  <c r="DC33" i="2" s="1"/>
  <c r="BL34" i="2"/>
  <c r="CJ34" i="2" s="1"/>
  <c r="CL36" i="2"/>
  <c r="CL35" i="2"/>
  <c r="CK35" i="2"/>
  <c r="BF49" i="2"/>
  <c r="BZ49" i="2" s="1"/>
  <c r="CX48" i="2"/>
  <c r="BE48" i="2"/>
  <c r="BY48" i="2" s="1"/>
  <c r="CW47" i="2"/>
  <c r="BD47" i="2"/>
  <c r="BX47" i="2" s="1"/>
  <c r="CV46" i="2"/>
  <c r="BC46" i="2"/>
  <c r="BW46" i="2" s="1"/>
  <c r="CU45" i="2"/>
  <c r="AX41" i="2"/>
  <c r="BR41" i="2" s="1"/>
  <c r="CP40" i="2"/>
  <c r="BA44" i="2"/>
  <c r="BU44" i="2" s="1"/>
  <c r="CS43" i="2"/>
  <c r="AZ43" i="2"/>
  <c r="BT43" i="2" s="1"/>
  <c r="CR42" i="2"/>
  <c r="AW40" i="2"/>
  <c r="BQ40" i="2" s="1"/>
  <c r="CO39" i="2"/>
  <c r="BI52" i="2"/>
  <c r="CC52" i="2" s="1"/>
  <c r="DA51" i="2"/>
  <c r="AT37" i="2"/>
  <c r="BB45" i="2"/>
  <c r="BV45" i="2" s="1"/>
  <c r="CT44" i="2"/>
  <c r="AV39" i="2"/>
  <c r="BP39" i="2" s="1"/>
  <c r="BP40" i="2" s="1"/>
  <c r="CN38" i="2"/>
  <c r="BH51" i="2"/>
  <c r="CB51" i="2" s="1"/>
  <c r="CZ50" i="2"/>
  <c r="AR35" i="2"/>
  <c r="AR36" i="2" s="1"/>
  <c r="AY42" i="2"/>
  <c r="BS42" i="2" s="1"/>
  <c r="CQ41" i="2"/>
  <c r="BG50" i="2"/>
  <c r="CA50" i="2" s="1"/>
  <c r="CY49" i="2"/>
  <c r="C62" i="1"/>
  <c r="AR62" i="1" s="1"/>
  <c r="BR61" i="1"/>
  <c r="DL33" i="2" l="1"/>
  <c r="DB34" i="2"/>
  <c r="DC34" i="2" s="1"/>
  <c r="B75" i="2"/>
  <c r="CE74" i="2"/>
  <c r="AT38" i="2"/>
  <c r="BN37" i="2"/>
  <c r="BM36" i="2"/>
  <c r="CK36" i="2" s="1"/>
  <c r="BL35" i="2"/>
  <c r="BL36" i="2" s="1"/>
  <c r="CM38" i="2"/>
  <c r="CM37" i="2"/>
  <c r="BE49" i="2"/>
  <c r="BY49" i="2" s="1"/>
  <c r="CW48" i="2"/>
  <c r="BH52" i="2"/>
  <c r="CB52" i="2" s="1"/>
  <c r="CZ51" i="2"/>
  <c r="AW41" i="2"/>
  <c r="BQ41" i="2" s="1"/>
  <c r="BQ42" i="2" s="1"/>
  <c r="CO40" i="2"/>
  <c r="BI53" i="2"/>
  <c r="CC53" i="2" s="1"/>
  <c r="DA52" i="2"/>
  <c r="BG51" i="2"/>
  <c r="CA51" i="2" s="1"/>
  <c r="CY50" i="2"/>
  <c r="AX42" i="2"/>
  <c r="BR42" i="2" s="1"/>
  <c r="CP41" i="2"/>
  <c r="BF50" i="2"/>
  <c r="BZ50" i="2" s="1"/>
  <c r="CX49" i="2"/>
  <c r="BD48" i="2"/>
  <c r="BX48" i="2" s="1"/>
  <c r="CV47" i="2"/>
  <c r="AZ44" i="2"/>
  <c r="BT44" i="2" s="1"/>
  <c r="CR43" i="2"/>
  <c r="AS37" i="2"/>
  <c r="BA45" i="2"/>
  <c r="BU45" i="2" s="1"/>
  <c r="CS44" i="2"/>
  <c r="AU39" i="2"/>
  <c r="BB46" i="2"/>
  <c r="BV46" i="2" s="1"/>
  <c r="CT45" i="2"/>
  <c r="AY43" i="2"/>
  <c r="BS43" i="2" s="1"/>
  <c r="CQ42" i="2"/>
  <c r="BC47" i="2"/>
  <c r="BW47" i="2" s="1"/>
  <c r="CU46" i="2"/>
  <c r="AQ35" i="2"/>
  <c r="AQ36" i="2" s="1"/>
  <c r="C63" i="1"/>
  <c r="AR63" i="1" s="1"/>
  <c r="BR62" i="1"/>
  <c r="DL34" i="2" l="1"/>
  <c r="BN38" i="2"/>
  <c r="B76" i="2"/>
  <c r="CE75" i="2"/>
  <c r="BK35" i="2"/>
  <c r="BK36" i="2" s="1"/>
  <c r="AR37" i="2"/>
  <c r="BL37" i="2" s="1"/>
  <c r="BM37" i="2"/>
  <c r="CK37" i="2" s="1"/>
  <c r="AU40" i="2"/>
  <c r="BO39" i="2"/>
  <c r="CN40" i="2"/>
  <c r="CN39" i="2"/>
  <c r="CL38" i="2"/>
  <c r="CL37" i="2"/>
  <c r="CI36" i="2"/>
  <c r="CI35" i="2"/>
  <c r="CJ36" i="2"/>
  <c r="CJ35" i="2"/>
  <c r="BB47" i="2"/>
  <c r="BV47" i="2" s="1"/>
  <c r="CT46" i="2"/>
  <c r="AX43" i="2"/>
  <c r="BR43" i="2" s="1"/>
  <c r="CP42" i="2"/>
  <c r="AS38" i="2"/>
  <c r="AZ45" i="2"/>
  <c r="BT45" i="2" s="1"/>
  <c r="BT46" i="2" s="1"/>
  <c r="BT47" i="2" s="1"/>
  <c r="CR44" i="2"/>
  <c r="BH53" i="2"/>
  <c r="CB53" i="2" s="1"/>
  <c r="CZ52" i="2"/>
  <c r="BF51" i="2"/>
  <c r="BZ51" i="2" s="1"/>
  <c r="CX50" i="2"/>
  <c r="BG52" i="2"/>
  <c r="CA52" i="2" s="1"/>
  <c r="CY51" i="2"/>
  <c r="AY44" i="2"/>
  <c r="BS44" i="2" s="1"/>
  <c r="CQ43" i="2"/>
  <c r="AV41" i="2"/>
  <c r="BE50" i="2"/>
  <c r="BY50" i="2" s="1"/>
  <c r="CW49" i="2"/>
  <c r="BC48" i="2"/>
  <c r="BW48" i="2" s="1"/>
  <c r="CU47" i="2"/>
  <c r="BA46" i="2"/>
  <c r="BU46" i="2" s="1"/>
  <c r="CS45" i="2"/>
  <c r="BD49" i="2"/>
  <c r="BX49" i="2" s="1"/>
  <c r="CV48" i="2"/>
  <c r="BI54" i="2"/>
  <c r="CC54" i="2" s="1"/>
  <c r="DA53" i="2"/>
  <c r="AT39" i="2"/>
  <c r="C64" i="1"/>
  <c r="AR64" i="1" s="1"/>
  <c r="BR63" i="1"/>
  <c r="AQ37" i="2" l="1"/>
  <c r="BK37" i="2" s="1"/>
  <c r="AS39" i="2"/>
  <c r="AU41" i="2"/>
  <c r="CJ37" i="2"/>
  <c r="DB36" i="2"/>
  <c r="DC36" i="2" s="1"/>
  <c r="AV42" i="2"/>
  <c r="BP41" i="2"/>
  <c r="BP42" i="2" s="1"/>
  <c r="DB35" i="2"/>
  <c r="DC35" i="2" s="1"/>
  <c r="BM38" i="2"/>
  <c r="B77" i="2"/>
  <c r="CE76" i="2"/>
  <c r="AT40" i="2"/>
  <c r="AS40" i="2" s="1"/>
  <c r="BO40" i="2"/>
  <c r="BN39" i="2"/>
  <c r="CR45" i="2"/>
  <c r="CO42" i="2"/>
  <c r="CO41" i="2"/>
  <c r="CM39" i="2"/>
  <c r="CP43" i="2"/>
  <c r="AX44" i="2"/>
  <c r="BR44" i="2" s="1"/>
  <c r="AW43" i="2"/>
  <c r="BF52" i="2"/>
  <c r="BZ52" i="2" s="1"/>
  <c r="CX51" i="2"/>
  <c r="BH54" i="2"/>
  <c r="CB54" i="2" s="1"/>
  <c r="CZ53" i="2"/>
  <c r="BA47" i="2"/>
  <c r="BU47" i="2" s="1"/>
  <c r="CS46" i="2"/>
  <c r="AY45" i="2"/>
  <c r="AY46" i="2" s="1"/>
  <c r="AY47" i="2" s="1"/>
  <c r="CQ44" i="2"/>
  <c r="BB48" i="2"/>
  <c r="BV48" i="2" s="1"/>
  <c r="CT47" i="2"/>
  <c r="BI55" i="2"/>
  <c r="CC55" i="2" s="1"/>
  <c r="DA54" i="2"/>
  <c r="BG53" i="2"/>
  <c r="CA53" i="2" s="1"/>
  <c r="CY52" i="2"/>
  <c r="BC49" i="2"/>
  <c r="BW49" i="2" s="1"/>
  <c r="CU48" i="2"/>
  <c r="BD50" i="2"/>
  <c r="BX50" i="2" s="1"/>
  <c r="CV49" i="2"/>
  <c r="BE51" i="2"/>
  <c r="BY51" i="2" s="1"/>
  <c r="CW50" i="2"/>
  <c r="AR38" i="2"/>
  <c r="C65" i="1"/>
  <c r="AR65" i="1" s="1"/>
  <c r="BR64" i="1"/>
  <c r="AT41" i="2" l="1"/>
  <c r="DL36" i="2"/>
  <c r="DL35" i="2"/>
  <c r="AR39" i="2"/>
  <c r="BM39" i="2"/>
  <c r="BM40" i="2" s="1"/>
  <c r="CK40" i="2" s="1"/>
  <c r="BN40" i="2"/>
  <c r="CL40" i="2" s="1"/>
  <c r="BO41" i="2"/>
  <c r="CM40" i="2"/>
  <c r="BS45" i="2"/>
  <c r="BS46" i="2" s="1"/>
  <c r="BS47" i="2" s="1"/>
  <c r="AU42" i="2"/>
  <c r="AT42" i="2" s="1"/>
  <c r="B78" i="2"/>
  <c r="CE77" i="2"/>
  <c r="AW44" i="2"/>
  <c r="BQ43" i="2"/>
  <c r="AR40" i="2"/>
  <c r="CI37" i="2"/>
  <c r="BL38" i="2"/>
  <c r="CK38" i="2"/>
  <c r="CN42" i="2"/>
  <c r="CN41" i="2"/>
  <c r="CL39" i="2"/>
  <c r="CK39" i="2"/>
  <c r="CR47" i="2"/>
  <c r="CR46" i="2"/>
  <c r="BF53" i="2"/>
  <c r="BZ53" i="2" s="1"/>
  <c r="CX52" i="2"/>
  <c r="BD51" i="2"/>
  <c r="BX51" i="2" s="1"/>
  <c r="CV50" i="2"/>
  <c r="AX45" i="2"/>
  <c r="AX46" i="2" s="1"/>
  <c r="AX47" i="2" s="1"/>
  <c r="CP44" i="2"/>
  <c r="BI56" i="2"/>
  <c r="CC56" i="2" s="1"/>
  <c r="DA55" i="2"/>
  <c r="AV43" i="2"/>
  <c r="BP43" i="2" s="1"/>
  <c r="BB49" i="2"/>
  <c r="BV49" i="2" s="1"/>
  <c r="CT48" i="2"/>
  <c r="BC50" i="2"/>
  <c r="BW50" i="2" s="1"/>
  <c r="CU49" i="2"/>
  <c r="BA48" i="2"/>
  <c r="BU48" i="2" s="1"/>
  <c r="BU49" i="2" s="1"/>
  <c r="CS47" i="2"/>
  <c r="BH55" i="2"/>
  <c r="CB55" i="2" s="1"/>
  <c r="CZ54" i="2"/>
  <c r="AQ38" i="2"/>
  <c r="AQ39" i="2" s="1"/>
  <c r="BE52" i="2"/>
  <c r="BY52" i="2" s="1"/>
  <c r="CW51" i="2"/>
  <c r="BG54" i="2"/>
  <c r="CA54" i="2" s="1"/>
  <c r="CY53" i="2"/>
  <c r="AS41" i="2"/>
  <c r="C66" i="1"/>
  <c r="AR66" i="1" s="1"/>
  <c r="BR65" i="1"/>
  <c r="BN41" i="2" l="1"/>
  <c r="BL39" i="2"/>
  <c r="BQ44" i="2"/>
  <c r="CO44" i="2" s="1"/>
  <c r="AS42" i="2"/>
  <c r="BO42" i="2"/>
  <c r="CM42" i="2" s="1"/>
  <c r="BR45" i="2"/>
  <c r="BR46" i="2" s="1"/>
  <c r="BR47" i="2" s="1"/>
  <c r="BL40" i="2"/>
  <c r="DB37" i="2"/>
  <c r="DC37" i="2" s="1"/>
  <c r="B79" i="2"/>
  <c r="CE78" i="2"/>
  <c r="AQ40" i="2"/>
  <c r="BM41" i="2"/>
  <c r="BM42" i="2" s="1"/>
  <c r="BN42" i="2"/>
  <c r="CL42" i="2" s="1"/>
  <c r="BK38" i="2"/>
  <c r="BK39" i="2" s="1"/>
  <c r="BK40" i="2" s="1"/>
  <c r="CL41" i="2"/>
  <c r="CM41" i="2"/>
  <c r="CO43" i="2"/>
  <c r="CQ45" i="2"/>
  <c r="CJ38" i="2"/>
  <c r="BB50" i="2"/>
  <c r="BV50" i="2" s="1"/>
  <c r="BV51" i="2" s="1"/>
  <c r="BV52" i="2" s="1"/>
  <c r="CT49" i="2"/>
  <c r="AV44" i="2"/>
  <c r="BP44" i="2" s="1"/>
  <c r="AU43" i="2"/>
  <c r="AZ48" i="2"/>
  <c r="BT48" i="2" s="1"/>
  <c r="BD52" i="2"/>
  <c r="BX52" i="2" s="1"/>
  <c r="CV51" i="2"/>
  <c r="BG55" i="2"/>
  <c r="CA55" i="2" s="1"/>
  <c r="CY54" i="2"/>
  <c r="AR41" i="2"/>
  <c r="AR42" i="2" s="1"/>
  <c r="BI57" i="2"/>
  <c r="CC57" i="2" s="1"/>
  <c r="DA56" i="2"/>
  <c r="BF54" i="2"/>
  <c r="BZ54" i="2" s="1"/>
  <c r="CX53" i="2"/>
  <c r="BE53" i="2"/>
  <c r="BY53" i="2" s="1"/>
  <c r="CW52" i="2"/>
  <c r="BC51" i="2"/>
  <c r="BW51" i="2" s="1"/>
  <c r="CU50" i="2"/>
  <c r="CN43" i="2"/>
  <c r="BH56" i="2"/>
  <c r="CB56" i="2" s="1"/>
  <c r="CZ55" i="2"/>
  <c r="AW45" i="2"/>
  <c r="AW46" i="2" s="1"/>
  <c r="AW47" i="2" s="1"/>
  <c r="C67" i="1"/>
  <c r="AR67" i="1" s="1"/>
  <c r="BR66" i="1"/>
  <c r="DL37" i="2" l="1"/>
  <c r="CI38" i="2"/>
  <c r="BO43" i="2"/>
  <c r="BL41" i="2"/>
  <c r="BL42" i="2" s="1"/>
  <c r="B80" i="2"/>
  <c r="CE79" i="2"/>
  <c r="BQ45" i="2"/>
  <c r="BQ46" i="2" s="1"/>
  <c r="BQ47" i="2" s="1"/>
  <c r="DB38" i="2"/>
  <c r="DC38" i="2" s="1"/>
  <c r="CQ47" i="2"/>
  <c r="CQ46" i="2"/>
  <c r="CK42" i="2"/>
  <c r="CK41" i="2"/>
  <c r="CP45" i="2"/>
  <c r="CS49" i="2"/>
  <c r="CS48" i="2"/>
  <c r="CI40" i="2"/>
  <c r="CI39" i="2"/>
  <c r="CJ40" i="2"/>
  <c r="CJ39" i="2"/>
  <c r="BH57" i="2"/>
  <c r="CB57" i="2" s="1"/>
  <c r="CZ56" i="2"/>
  <c r="AV45" i="2"/>
  <c r="AV46" i="2" s="1"/>
  <c r="AV47" i="2" s="1"/>
  <c r="BE54" i="2"/>
  <c r="BY54" i="2" s="1"/>
  <c r="CW53" i="2"/>
  <c r="CN44" i="2"/>
  <c r="BI58" i="2"/>
  <c r="CC58" i="2" s="1"/>
  <c r="DA57" i="2"/>
  <c r="BD53" i="2"/>
  <c r="BX53" i="2" s="1"/>
  <c r="CV52" i="2"/>
  <c r="BA50" i="2"/>
  <c r="AZ49" i="2"/>
  <c r="AZ50" i="2" s="1"/>
  <c r="CR48" i="2"/>
  <c r="AY48" i="2"/>
  <c r="BS48" i="2" s="1"/>
  <c r="BF55" i="2"/>
  <c r="BZ55" i="2" s="1"/>
  <c r="CX54" i="2"/>
  <c r="AU44" i="2"/>
  <c r="CM43" i="2"/>
  <c r="AT43" i="2"/>
  <c r="BN43" i="2" s="1"/>
  <c r="BG56" i="2"/>
  <c r="CA56" i="2" s="1"/>
  <c r="CY55" i="2"/>
  <c r="BC52" i="2"/>
  <c r="BW52" i="2" s="1"/>
  <c r="CU51" i="2"/>
  <c r="AQ41" i="2"/>
  <c r="AQ42" i="2" s="1"/>
  <c r="C68" i="1"/>
  <c r="AR68" i="1" s="1"/>
  <c r="BR67" i="1"/>
  <c r="DL38" i="2" l="1"/>
  <c r="B81" i="2"/>
  <c r="CE80" i="2"/>
  <c r="DB39" i="2"/>
  <c r="DC39" i="2" s="1"/>
  <c r="BK41" i="2"/>
  <c r="BK42" i="2" s="1"/>
  <c r="BA51" i="2"/>
  <c r="BA52" i="2" s="1"/>
  <c r="BA53" i="2" s="1"/>
  <c r="BU50" i="2"/>
  <c r="BU51" i="2" s="1"/>
  <c r="BP45" i="2"/>
  <c r="BP46" i="2" s="1"/>
  <c r="BP47" i="2" s="1"/>
  <c r="DB40" i="2"/>
  <c r="DC40" i="2" s="1"/>
  <c r="AU45" i="2"/>
  <c r="AU46" i="2" s="1"/>
  <c r="AU47" i="2" s="1"/>
  <c r="BT49" i="2"/>
  <c r="BT50" i="2" s="1"/>
  <c r="BO44" i="2"/>
  <c r="CP47" i="2"/>
  <c r="CP46" i="2"/>
  <c r="CO45" i="2"/>
  <c r="CT50" i="2"/>
  <c r="CJ42" i="2"/>
  <c r="CJ41" i="2"/>
  <c r="BF56" i="2"/>
  <c r="BZ56" i="2" s="1"/>
  <c r="CX55" i="2"/>
  <c r="BD54" i="2"/>
  <c r="BX54" i="2" s="1"/>
  <c r="CV53" i="2"/>
  <c r="BE55" i="2"/>
  <c r="BY55" i="2" s="1"/>
  <c r="CW54" i="2"/>
  <c r="AY49" i="2"/>
  <c r="AY50" i="2" s="1"/>
  <c r="AX48" i="2"/>
  <c r="BR48" i="2" s="1"/>
  <c r="CQ48" i="2"/>
  <c r="BI59" i="2"/>
  <c r="CC59" i="2" s="1"/>
  <c r="DA58" i="2"/>
  <c r="BG57" i="2"/>
  <c r="CA57" i="2" s="1"/>
  <c r="CY56" i="2"/>
  <c r="BC53" i="2"/>
  <c r="BW53" i="2" s="1"/>
  <c r="CU52" i="2"/>
  <c r="AT44" i="2"/>
  <c r="CL43" i="2"/>
  <c r="AS43" i="2"/>
  <c r="BM43" i="2" s="1"/>
  <c r="BH58" i="2"/>
  <c r="CB58" i="2" s="1"/>
  <c r="CZ57" i="2"/>
  <c r="C69" i="1"/>
  <c r="AR69" i="1" s="1"/>
  <c r="BR68" i="1"/>
  <c r="AT45" i="2" l="1"/>
  <c r="AT46" i="2" s="1"/>
  <c r="AT47" i="2" s="1"/>
  <c r="DL40" i="2"/>
  <c r="DL39" i="2"/>
  <c r="BU52" i="2"/>
  <c r="BU53" i="2"/>
  <c r="BU54" i="2" s="1"/>
  <c r="AZ51" i="2"/>
  <c r="AZ52" i="2" s="1"/>
  <c r="AZ53" i="2" s="1"/>
  <c r="AZ54" i="2" s="1"/>
  <c r="AZ55" i="2" s="1"/>
  <c r="BS49" i="2"/>
  <c r="BS50" i="2" s="1"/>
  <c r="BO45" i="2"/>
  <c r="BO46" i="2" s="1"/>
  <c r="BO47" i="2" s="1"/>
  <c r="B82" i="2"/>
  <c r="CE81" i="2"/>
  <c r="BT51" i="2"/>
  <c r="BT52" i="2" s="1"/>
  <c r="BT53" i="2" s="1"/>
  <c r="BT54" i="2" s="1"/>
  <c r="BN44" i="2"/>
  <c r="BN45" i="2" s="1"/>
  <c r="BN46" i="2" s="1"/>
  <c r="BN47" i="2" s="1"/>
  <c r="CT52" i="2"/>
  <c r="CT51" i="2"/>
  <c r="CR49" i="2"/>
  <c r="CM44" i="2"/>
  <c r="CN45" i="2"/>
  <c r="CO47" i="2"/>
  <c r="CO46" i="2"/>
  <c r="CS50" i="2"/>
  <c r="CI42" i="2"/>
  <c r="CI41" i="2"/>
  <c r="AS44" i="2"/>
  <c r="AS45" i="2" s="1"/>
  <c r="AR43" i="2"/>
  <c r="BL43" i="2" s="1"/>
  <c r="BG58" i="2"/>
  <c r="CA58" i="2" s="1"/>
  <c r="CY57" i="2"/>
  <c r="BE56" i="2"/>
  <c r="BY56" i="2" s="1"/>
  <c r="CW55" i="2"/>
  <c r="BI60" i="2"/>
  <c r="CC60" i="2" s="1"/>
  <c r="DA59" i="2"/>
  <c r="BD55" i="2"/>
  <c r="BX55" i="2" s="1"/>
  <c r="CV54" i="2"/>
  <c r="CU53" i="2"/>
  <c r="BB53" i="2"/>
  <c r="BV53" i="2" s="1"/>
  <c r="BC54" i="2"/>
  <c r="BW54" i="2" s="1"/>
  <c r="AX49" i="2"/>
  <c r="AX50" i="2" s="1"/>
  <c r="AW48" i="2"/>
  <c r="BQ48" i="2" s="1"/>
  <c r="BH59" i="2"/>
  <c r="CB59" i="2" s="1"/>
  <c r="CZ58" i="2"/>
  <c r="BF57" i="2"/>
  <c r="BZ57" i="2" s="1"/>
  <c r="CX56" i="2"/>
  <c r="C70" i="1"/>
  <c r="AR70" i="1" s="1"/>
  <c r="BR69" i="1"/>
  <c r="BT55" i="2" l="1"/>
  <c r="BT56" i="2" s="1"/>
  <c r="AY51" i="2"/>
  <c r="AY52" i="2" s="1"/>
  <c r="AY53" i="2" s="1"/>
  <c r="AY54" i="2" s="1"/>
  <c r="AY55" i="2" s="1"/>
  <c r="AY56" i="2" s="1"/>
  <c r="AY57" i="2" s="1"/>
  <c r="BS51" i="2"/>
  <c r="BS52" i="2" s="1"/>
  <c r="BS53" i="2" s="1"/>
  <c r="BS54" i="2" s="1"/>
  <c r="DB42" i="2"/>
  <c r="DC42" i="2" s="1"/>
  <c r="BM44" i="2"/>
  <c r="CK44" i="2" s="1"/>
  <c r="B83" i="2"/>
  <c r="CE82" i="2"/>
  <c r="AS46" i="2"/>
  <c r="AS47" i="2" s="1"/>
  <c r="DB41" i="2"/>
  <c r="DC41" i="2" s="1"/>
  <c r="BR49" i="2"/>
  <c r="BR50" i="2" s="1"/>
  <c r="CQ49" i="2"/>
  <c r="CN47" i="2"/>
  <c r="CN46" i="2"/>
  <c r="CP48" i="2"/>
  <c r="CL44" i="2"/>
  <c r="CM45" i="2"/>
  <c r="CS51" i="2"/>
  <c r="CR50" i="2"/>
  <c r="CK43" i="2"/>
  <c r="BH60" i="2"/>
  <c r="CB60" i="2" s="1"/>
  <c r="CZ59" i="2"/>
  <c r="AW49" i="2"/>
  <c r="AW50" i="2" s="1"/>
  <c r="AV48" i="2"/>
  <c r="BP48" i="2" s="1"/>
  <c r="BD56" i="2"/>
  <c r="BX56" i="2" s="1"/>
  <c r="CV55" i="2"/>
  <c r="BG59" i="2"/>
  <c r="CA59" i="2" s="1"/>
  <c r="CY58" i="2"/>
  <c r="AR44" i="2"/>
  <c r="AR45" i="2" s="1"/>
  <c r="AQ43" i="2"/>
  <c r="BK43" i="2" s="1"/>
  <c r="CJ43" i="2"/>
  <c r="BI61" i="2"/>
  <c r="CC61" i="2" s="1"/>
  <c r="DA60" i="2"/>
  <c r="BE57" i="2"/>
  <c r="BY57" i="2" s="1"/>
  <c r="CW56" i="2"/>
  <c r="BC55" i="2"/>
  <c r="BW55" i="2" s="1"/>
  <c r="CU54" i="2"/>
  <c r="BF58" i="2"/>
  <c r="BZ58" i="2" s="1"/>
  <c r="CX57" i="2"/>
  <c r="BB54" i="2"/>
  <c r="BV54" i="2" s="1"/>
  <c r="CT53" i="2"/>
  <c r="C71" i="1"/>
  <c r="AR71" i="1" s="1"/>
  <c r="BR70" i="1"/>
  <c r="BS55" i="2" l="1"/>
  <c r="BS56" i="2" s="1"/>
  <c r="BS57" i="2" s="1"/>
  <c r="BS58" i="2" s="1"/>
  <c r="AX51" i="2"/>
  <c r="AX52" i="2" s="1"/>
  <c r="AX53" i="2" s="1"/>
  <c r="AX54" i="2" s="1"/>
  <c r="AX55" i="2" s="1"/>
  <c r="AX56" i="2" s="1"/>
  <c r="AX57" i="2" s="1"/>
  <c r="AX58" i="2" s="1"/>
  <c r="AW51" i="2"/>
  <c r="AW52" i="2" s="1"/>
  <c r="AW53" i="2" s="1"/>
  <c r="AW54" i="2" s="1"/>
  <c r="AW55" i="2" s="1"/>
  <c r="AW56" i="2" s="1"/>
  <c r="AW57" i="2" s="1"/>
  <c r="AW58" i="2" s="1"/>
  <c r="DL42" i="2"/>
  <c r="DL41" i="2"/>
  <c r="AR46" i="2"/>
  <c r="AR47" i="2" s="1"/>
  <c r="B84" i="2"/>
  <c r="CE83" i="2"/>
  <c r="BL44" i="2"/>
  <c r="BL45" i="2" s="1"/>
  <c r="BL46" i="2" s="1"/>
  <c r="CP49" i="2"/>
  <c r="BM45" i="2"/>
  <c r="BM46" i="2" s="1"/>
  <c r="BM47" i="2" s="1"/>
  <c r="BQ49" i="2"/>
  <c r="BQ50" i="2" s="1"/>
  <c r="BQ51" i="2" s="1"/>
  <c r="BQ52" i="2" s="1"/>
  <c r="BQ53" i="2" s="1"/>
  <c r="BQ54" i="2" s="1"/>
  <c r="BQ55" i="2" s="1"/>
  <c r="BQ56" i="2" s="1"/>
  <c r="BQ57" i="2" s="1"/>
  <c r="BQ58" i="2" s="1"/>
  <c r="CL45" i="2"/>
  <c r="CR51" i="2"/>
  <c r="CS52" i="2"/>
  <c r="CO48" i="2"/>
  <c r="CM47" i="2"/>
  <c r="CM46" i="2"/>
  <c r="CQ50" i="2"/>
  <c r="BG60" i="2"/>
  <c r="CA60" i="2" s="1"/>
  <c r="CY59" i="2"/>
  <c r="BI62" i="2"/>
  <c r="CC62" i="2" s="1"/>
  <c r="DA61" i="2"/>
  <c r="BF59" i="2"/>
  <c r="BZ59" i="2" s="1"/>
  <c r="CX58" i="2"/>
  <c r="BD57" i="2"/>
  <c r="BX57" i="2" s="1"/>
  <c r="CV56" i="2"/>
  <c r="BC56" i="2"/>
  <c r="BW56" i="2" s="1"/>
  <c r="CU55" i="2"/>
  <c r="AQ44" i="2"/>
  <c r="AQ45" i="2" s="1"/>
  <c r="AV49" i="2"/>
  <c r="AV50" i="2" s="1"/>
  <c r="AV51" i="2" s="1"/>
  <c r="AV52" i="2" s="1"/>
  <c r="AU48" i="2"/>
  <c r="BO48" i="2" s="1"/>
  <c r="CN48" i="2"/>
  <c r="BB55" i="2"/>
  <c r="BV55" i="2" s="1"/>
  <c r="CT54" i="2"/>
  <c r="BE58" i="2"/>
  <c r="BY58" i="2" s="1"/>
  <c r="CW57" i="2"/>
  <c r="BH61" i="2"/>
  <c r="CB61" i="2" s="1"/>
  <c r="CZ60" i="2"/>
  <c r="C72" i="1"/>
  <c r="AR72" i="1" s="1"/>
  <c r="BR71" i="1"/>
  <c r="BR51" i="2" l="1"/>
  <c r="BR52" i="2" s="1"/>
  <c r="BR53" i="2" s="1"/>
  <c r="BR54" i="2" s="1"/>
  <c r="BR55" i="2" s="1"/>
  <c r="BR56" i="2" s="1"/>
  <c r="BR57" i="2" s="1"/>
  <c r="BR58" i="2" s="1"/>
  <c r="BL47" i="2"/>
  <c r="AQ46" i="2"/>
  <c r="AQ47" i="2" s="1"/>
  <c r="BP49" i="2"/>
  <c r="BP50" i="2" s="1"/>
  <c r="BP51" i="2" s="1"/>
  <c r="BP52" i="2" s="1"/>
  <c r="AV53" i="2"/>
  <c r="AV54" i="2" s="1"/>
  <c r="AV55" i="2" s="1"/>
  <c r="AV56" i="2" s="1"/>
  <c r="AV57" i="2" s="1"/>
  <c r="AV58" i="2" s="1"/>
  <c r="BK44" i="2"/>
  <c r="BK45" i="2" s="1"/>
  <c r="BK46" i="2" s="1"/>
  <c r="BK47" i="2" s="1"/>
  <c r="B85" i="2"/>
  <c r="CE84" i="2"/>
  <c r="CO49" i="2"/>
  <c r="CQ51" i="2"/>
  <c r="CS54" i="2"/>
  <c r="CS53" i="2"/>
  <c r="CR52" i="2"/>
  <c r="CK45" i="2"/>
  <c r="CP50" i="2"/>
  <c r="CL47" i="2"/>
  <c r="CL46" i="2"/>
  <c r="CI43" i="2"/>
  <c r="CJ44" i="2"/>
  <c r="BH62" i="2"/>
  <c r="CB62" i="2" s="1"/>
  <c r="CZ61" i="2"/>
  <c r="BD58" i="2"/>
  <c r="BX58" i="2" s="1"/>
  <c r="CV57" i="2"/>
  <c r="BI63" i="2"/>
  <c r="CC63" i="2" s="1"/>
  <c r="DA62" i="2"/>
  <c r="BF60" i="2"/>
  <c r="BZ60" i="2" s="1"/>
  <c r="CX59" i="2"/>
  <c r="BE59" i="2"/>
  <c r="BY59" i="2" s="1"/>
  <c r="CW58" i="2"/>
  <c r="CT55" i="2"/>
  <c r="BB56" i="2"/>
  <c r="BV56" i="2" s="1"/>
  <c r="BA55" i="2"/>
  <c r="BU55" i="2" s="1"/>
  <c r="BG61" i="2"/>
  <c r="CA61" i="2" s="1"/>
  <c r="CY60" i="2"/>
  <c r="BC57" i="2"/>
  <c r="BW57" i="2" s="1"/>
  <c r="CU56" i="2"/>
  <c r="AU49" i="2"/>
  <c r="AU50" i="2" s="1"/>
  <c r="AU51" i="2" s="1"/>
  <c r="AU52" i="2" s="1"/>
  <c r="CM48" i="2"/>
  <c r="AT48" i="2"/>
  <c r="BN48" i="2" s="1"/>
  <c r="C73" i="1"/>
  <c r="AR73" i="1" s="1"/>
  <c r="BR72" i="1"/>
  <c r="BO49" i="2" l="1"/>
  <c r="BO50" i="2" s="1"/>
  <c r="BO51" i="2" s="1"/>
  <c r="BO52" i="2" s="1"/>
  <c r="BP53" i="2"/>
  <c r="BP54" i="2" s="1"/>
  <c r="BP55" i="2" s="1"/>
  <c r="BP56" i="2" s="1"/>
  <c r="BP57" i="2" s="1"/>
  <c r="BP58" i="2" s="1"/>
  <c r="CI44" i="2"/>
  <c r="DB43" i="2"/>
  <c r="DC43" i="2" s="1"/>
  <c r="CI45" i="2"/>
  <c r="AU53" i="2"/>
  <c r="AU54" i="2" s="1"/>
  <c r="AU55" i="2" s="1"/>
  <c r="AU56" i="2" s="1"/>
  <c r="AU57" i="2" s="1"/>
  <c r="AU58" i="2" s="1"/>
  <c r="B86" i="2"/>
  <c r="CE85" i="2"/>
  <c r="CR53" i="2"/>
  <c r="CP51" i="2"/>
  <c r="CQ52" i="2"/>
  <c r="CN49" i="2"/>
  <c r="CK47" i="2"/>
  <c r="CK46" i="2"/>
  <c r="CO50" i="2"/>
  <c r="CI47" i="2"/>
  <c r="CI46" i="2"/>
  <c r="CJ45" i="2"/>
  <c r="BA56" i="2"/>
  <c r="BU56" i="2" s="1"/>
  <c r="CS55" i="2"/>
  <c r="BI64" i="2"/>
  <c r="CC64" i="2" s="1"/>
  <c r="DA63" i="2"/>
  <c r="BC58" i="2"/>
  <c r="BW58" i="2" s="1"/>
  <c r="CU57" i="2"/>
  <c r="BD59" i="2"/>
  <c r="BX59" i="2" s="1"/>
  <c r="CV58" i="2"/>
  <c r="BB57" i="2"/>
  <c r="BV57" i="2" s="1"/>
  <c r="CT56" i="2"/>
  <c r="AT49" i="2"/>
  <c r="AT50" i="2" s="1"/>
  <c r="AT51" i="2" s="1"/>
  <c r="AT52" i="2" s="1"/>
  <c r="CL48" i="2"/>
  <c r="AS48" i="2"/>
  <c r="BM48" i="2" s="1"/>
  <c r="BG62" i="2"/>
  <c r="CA62" i="2" s="1"/>
  <c r="CY61" i="2"/>
  <c r="BF61" i="2"/>
  <c r="BZ61" i="2" s="1"/>
  <c r="CX60" i="2"/>
  <c r="BE60" i="2"/>
  <c r="BY60" i="2" s="1"/>
  <c r="CW59" i="2"/>
  <c r="BH63" i="2"/>
  <c r="CB63" i="2" s="1"/>
  <c r="CZ62" i="2"/>
  <c r="C74" i="1"/>
  <c r="AR74" i="1" s="1"/>
  <c r="BR73" i="1"/>
  <c r="DL43" i="2" l="1"/>
  <c r="AT53" i="2"/>
  <c r="AT54" i="2" s="1"/>
  <c r="AT55" i="2"/>
  <c r="AT56" i="2" s="1"/>
  <c r="AT57" i="2" s="1"/>
  <c r="AT58" i="2" s="1"/>
  <c r="BN49" i="2"/>
  <c r="BN50" i="2" s="1"/>
  <c r="BN51" i="2" s="1"/>
  <c r="BN52" i="2" s="1"/>
  <c r="BN53" i="2" s="1"/>
  <c r="BN54" i="2" s="1"/>
  <c r="DB44" i="2"/>
  <c r="DC44" i="2" s="1"/>
  <c r="DB45" i="2"/>
  <c r="DC45" i="2" s="1"/>
  <c r="B87" i="2"/>
  <c r="CE86" i="2"/>
  <c r="BO53" i="2"/>
  <c r="BO54" i="2" s="1"/>
  <c r="BO55" i="2" s="1"/>
  <c r="BO56" i="2" s="1"/>
  <c r="BO57" i="2" s="1"/>
  <c r="BO58" i="2" s="1"/>
  <c r="CN50" i="2"/>
  <c r="CQ53" i="2"/>
  <c r="CM49" i="2"/>
  <c r="CO51" i="2"/>
  <c r="CP52" i="2"/>
  <c r="CR54" i="2"/>
  <c r="CJ47" i="2"/>
  <c r="CJ46" i="2"/>
  <c r="BH64" i="2"/>
  <c r="CB64" i="2" s="1"/>
  <c r="CZ63" i="2"/>
  <c r="BG63" i="2"/>
  <c r="CA63" i="2" s="1"/>
  <c r="CY62" i="2"/>
  <c r="BC59" i="2"/>
  <c r="BW59" i="2" s="1"/>
  <c r="CU58" i="2"/>
  <c r="AS49" i="2"/>
  <c r="AS50" i="2" s="1"/>
  <c r="AS51" i="2" s="1"/>
  <c r="AS52" i="2" s="1"/>
  <c r="AS53" i="2" s="1"/>
  <c r="AS54" i="2" s="1"/>
  <c r="AS55" i="2" s="1"/>
  <c r="AS56" i="2" s="1"/>
  <c r="AS57" i="2" s="1"/>
  <c r="AS58" i="2" s="1"/>
  <c r="AR48" i="2"/>
  <c r="BL48" i="2" s="1"/>
  <c r="BE61" i="2"/>
  <c r="BY61" i="2" s="1"/>
  <c r="CW60" i="2"/>
  <c r="BB58" i="2"/>
  <c r="BV58" i="2" s="1"/>
  <c r="CT57" i="2"/>
  <c r="BF62" i="2"/>
  <c r="BZ62" i="2" s="1"/>
  <c r="CX61" i="2"/>
  <c r="BI65" i="2"/>
  <c r="CC65" i="2" s="1"/>
  <c r="DA64" i="2"/>
  <c r="BD60" i="2"/>
  <c r="BX60" i="2" s="1"/>
  <c r="CV59" i="2"/>
  <c r="BA57" i="2"/>
  <c r="BU57" i="2" s="1"/>
  <c r="CS56" i="2"/>
  <c r="C75" i="1"/>
  <c r="AR75" i="1" s="1"/>
  <c r="BR74" i="1"/>
  <c r="BN55" i="2" l="1"/>
  <c r="BN56" i="2" s="1"/>
  <c r="BN57" i="2" s="1"/>
  <c r="BN58" i="2" s="1"/>
  <c r="DL44" i="2"/>
  <c r="DL45" i="2"/>
  <c r="DB47" i="2"/>
  <c r="DC47" i="2" s="1"/>
  <c r="DL47" i="2" s="1"/>
  <c r="B88" i="2"/>
  <c r="CE87" i="2"/>
  <c r="BM49" i="2"/>
  <c r="BM50" i="2" s="1"/>
  <c r="BM51" i="2" s="1"/>
  <c r="BM52" i="2" s="1"/>
  <c r="BM53" i="2" s="1"/>
  <c r="BM54" i="2" s="1"/>
  <c r="BM55" i="2" s="1"/>
  <c r="BM56" i="2" s="1"/>
  <c r="BM57" i="2" s="1"/>
  <c r="BM58" i="2" s="1"/>
  <c r="DB46" i="2"/>
  <c r="DC46" i="2" s="1"/>
  <c r="DL46" i="2" s="1"/>
  <c r="CO52" i="2"/>
  <c r="CK48" i="2"/>
  <c r="CM50" i="2"/>
  <c r="CR56" i="2"/>
  <c r="CR55" i="2"/>
  <c r="CQ54" i="2"/>
  <c r="CL49" i="2"/>
  <c r="CP53" i="2"/>
  <c r="CN51" i="2"/>
  <c r="BC60" i="2"/>
  <c r="BW60" i="2" s="1"/>
  <c r="CU59" i="2"/>
  <c r="CS57" i="2"/>
  <c r="AZ57" i="2"/>
  <c r="BT57" i="2" s="1"/>
  <c r="BA58" i="2"/>
  <c r="BU58" i="2" s="1"/>
  <c r="BE62" i="2"/>
  <c r="BY62" i="2" s="1"/>
  <c r="CW61" i="2"/>
  <c r="BG64" i="2"/>
  <c r="CA64" i="2" s="1"/>
  <c r="CY63" i="2"/>
  <c r="BF63" i="2"/>
  <c r="BZ63" i="2" s="1"/>
  <c r="CX62" i="2"/>
  <c r="BB59" i="2"/>
  <c r="BV59" i="2" s="1"/>
  <c r="CT58" i="2"/>
  <c r="BD61" i="2"/>
  <c r="BX61" i="2" s="1"/>
  <c r="CV60" i="2"/>
  <c r="DA65" i="2"/>
  <c r="BI66" i="2"/>
  <c r="CC66" i="2" s="1"/>
  <c r="AR49" i="2"/>
  <c r="AR50" i="2" s="1"/>
  <c r="AR51" i="2" s="1"/>
  <c r="AR52" i="2" s="1"/>
  <c r="AR53" i="2" s="1"/>
  <c r="AR54" i="2" s="1"/>
  <c r="AR55" i="2" s="1"/>
  <c r="AR56" i="2" s="1"/>
  <c r="AR57" i="2" s="1"/>
  <c r="AR58" i="2" s="1"/>
  <c r="CJ48" i="2"/>
  <c r="AQ48" i="2"/>
  <c r="BK48" i="2" s="1"/>
  <c r="BH65" i="2"/>
  <c r="CB65" i="2" s="1"/>
  <c r="CZ64" i="2"/>
  <c r="C76" i="1"/>
  <c r="AR76" i="1" s="1"/>
  <c r="BR75" i="1"/>
  <c r="CK49" i="2" l="1"/>
  <c r="B89" i="2"/>
  <c r="CE88" i="2"/>
  <c r="BL49" i="2"/>
  <c r="BL50" i="2" s="1"/>
  <c r="BL51" i="2" s="1"/>
  <c r="BL52" i="2" s="1"/>
  <c r="BL53" i="2" s="1"/>
  <c r="BL54" i="2" s="1"/>
  <c r="BL55" i="2" s="1"/>
  <c r="BL56" i="2" s="1"/>
  <c r="BL57" i="2" s="1"/>
  <c r="BL58" i="2" s="1"/>
  <c r="CN52" i="2"/>
  <c r="CP54" i="2"/>
  <c r="CM51" i="2"/>
  <c r="CL50" i="2"/>
  <c r="CK50" i="2"/>
  <c r="CO53" i="2"/>
  <c r="CQ55" i="2"/>
  <c r="AQ49" i="2"/>
  <c r="AQ50" i="2" s="1"/>
  <c r="AQ51" i="2" s="1"/>
  <c r="AQ52" i="2" s="1"/>
  <c r="AQ53" i="2" s="1"/>
  <c r="AQ54" i="2" s="1"/>
  <c r="AQ55" i="2" s="1"/>
  <c r="AQ56" i="2" s="1"/>
  <c r="AQ57" i="2" s="1"/>
  <c r="AQ58" i="2" s="1"/>
  <c r="CI48" i="2"/>
  <c r="BA59" i="2"/>
  <c r="BU59" i="2" s="1"/>
  <c r="CS58" i="2"/>
  <c r="BF64" i="2"/>
  <c r="BZ64" i="2" s="1"/>
  <c r="CX63" i="2"/>
  <c r="BH66" i="2"/>
  <c r="CB66" i="2" s="1"/>
  <c r="CZ65" i="2"/>
  <c r="BE63" i="2"/>
  <c r="BY63" i="2" s="1"/>
  <c r="CW62" i="2"/>
  <c r="BI67" i="2"/>
  <c r="CC67" i="2" s="1"/>
  <c r="DA66" i="2"/>
  <c r="BB60" i="2"/>
  <c r="BV60" i="2" s="1"/>
  <c r="CT59" i="2"/>
  <c r="AZ58" i="2"/>
  <c r="BT58" i="2" s="1"/>
  <c r="CR57" i="2"/>
  <c r="BD62" i="2"/>
  <c r="BX62" i="2" s="1"/>
  <c r="CV61" i="2"/>
  <c r="BG65" i="2"/>
  <c r="CA65" i="2" s="1"/>
  <c r="CY64" i="2"/>
  <c r="BC61" i="2"/>
  <c r="BW61" i="2" s="1"/>
  <c r="CU60" i="2"/>
  <c r="C77" i="1"/>
  <c r="AR77" i="1" s="1"/>
  <c r="BR76" i="1"/>
  <c r="DB48" i="2" l="1"/>
  <c r="DC48" i="2" s="1"/>
  <c r="B90" i="2"/>
  <c r="CE89" i="2"/>
  <c r="BK49" i="2"/>
  <c r="BK50" i="2" s="1"/>
  <c r="BK51" i="2" s="1"/>
  <c r="BK52" i="2" s="1"/>
  <c r="BK53" i="2" s="1"/>
  <c r="BK54" i="2" s="1"/>
  <c r="BK55" i="2" s="1"/>
  <c r="BK56" i="2" s="1"/>
  <c r="BK57" i="2" s="1"/>
  <c r="BK58" i="2" s="1"/>
  <c r="CL51" i="2"/>
  <c r="CQ56" i="2"/>
  <c r="CM52" i="2"/>
  <c r="CO54" i="2"/>
  <c r="CP55" i="2"/>
  <c r="CK51" i="2"/>
  <c r="CN53" i="2"/>
  <c r="CJ49" i="2"/>
  <c r="BF65" i="2"/>
  <c r="BZ65" i="2" s="1"/>
  <c r="CX64" i="2"/>
  <c r="BG66" i="2"/>
  <c r="CA66" i="2" s="1"/>
  <c r="CY65" i="2"/>
  <c r="BB61" i="2"/>
  <c r="BV61" i="2" s="1"/>
  <c r="CT60" i="2"/>
  <c r="BI68" i="2"/>
  <c r="CC68" i="2" s="1"/>
  <c r="DA67" i="2"/>
  <c r="BE64" i="2"/>
  <c r="BY64" i="2" s="1"/>
  <c r="CW63" i="2"/>
  <c r="BH67" i="2"/>
  <c r="CB67" i="2" s="1"/>
  <c r="CZ66" i="2"/>
  <c r="BC62" i="2"/>
  <c r="BW62" i="2" s="1"/>
  <c r="CU61" i="2"/>
  <c r="BA60" i="2"/>
  <c r="BU60" i="2" s="1"/>
  <c r="CS59" i="2"/>
  <c r="BD63" i="2"/>
  <c r="BX63" i="2" s="1"/>
  <c r="CV62" i="2"/>
  <c r="AZ59" i="2"/>
  <c r="BT59" i="2" s="1"/>
  <c r="BT60" i="2" s="1"/>
  <c r="CR58" i="2"/>
  <c r="C78" i="1"/>
  <c r="AR78" i="1" s="1"/>
  <c r="BR77" i="1"/>
  <c r="DL48" i="2" l="1"/>
  <c r="B91" i="2"/>
  <c r="CE90" i="2"/>
  <c r="CO55" i="2"/>
  <c r="CN54" i="2"/>
  <c r="CM53" i="2"/>
  <c r="CK52" i="2"/>
  <c r="CQ58" i="2"/>
  <c r="CQ57" i="2"/>
  <c r="CP56" i="2"/>
  <c r="CL52" i="2"/>
  <c r="CI49" i="2"/>
  <c r="CJ50" i="2"/>
  <c r="BC63" i="2"/>
  <c r="BW63" i="2" s="1"/>
  <c r="CU62" i="2"/>
  <c r="BB62" i="2"/>
  <c r="BV62" i="2" s="1"/>
  <c r="CT61" i="2"/>
  <c r="BH68" i="2"/>
  <c r="CB68" i="2" s="1"/>
  <c r="CZ67" i="2"/>
  <c r="AY59" i="2"/>
  <c r="BS59" i="2" s="1"/>
  <c r="BD64" i="2"/>
  <c r="BX64" i="2" s="1"/>
  <c r="CV63" i="2"/>
  <c r="BG67" i="2"/>
  <c r="CA67" i="2" s="1"/>
  <c r="CY66" i="2"/>
  <c r="BA61" i="2"/>
  <c r="BU61" i="2" s="1"/>
  <c r="CS60" i="2"/>
  <c r="BF66" i="2"/>
  <c r="BZ66" i="2" s="1"/>
  <c r="CX65" i="2"/>
  <c r="BE65" i="2"/>
  <c r="BY65" i="2" s="1"/>
  <c r="CW64" i="2"/>
  <c r="BI69" i="2"/>
  <c r="CC69" i="2" s="1"/>
  <c r="DA68" i="2"/>
  <c r="C79" i="1"/>
  <c r="AR79" i="1" s="1"/>
  <c r="BR78" i="1"/>
  <c r="DB49" i="2" l="1"/>
  <c r="DC49" i="2" s="1"/>
  <c r="B92" i="2"/>
  <c r="CE91" i="2"/>
  <c r="CK53" i="2"/>
  <c r="CL53" i="2"/>
  <c r="CM54" i="2"/>
  <c r="CP58" i="2"/>
  <c r="CP57" i="2"/>
  <c r="CN55" i="2"/>
  <c r="CR60" i="2"/>
  <c r="CR59" i="2"/>
  <c r="CO56" i="2"/>
  <c r="CI50" i="2"/>
  <c r="CJ51" i="2"/>
  <c r="AY60" i="2"/>
  <c r="AY61" i="2" s="1"/>
  <c r="CQ59" i="2"/>
  <c r="AX59" i="2"/>
  <c r="BR59" i="2" s="1"/>
  <c r="BI70" i="2"/>
  <c r="CC70" i="2" s="1"/>
  <c r="DA69" i="2"/>
  <c r="BG68" i="2"/>
  <c r="CA68" i="2" s="1"/>
  <c r="CY67" i="2"/>
  <c r="BB63" i="2"/>
  <c r="BV63" i="2" s="1"/>
  <c r="CT62" i="2"/>
  <c r="BF67" i="2"/>
  <c r="BZ67" i="2" s="1"/>
  <c r="CX66" i="2"/>
  <c r="CS61" i="2"/>
  <c r="BA62" i="2"/>
  <c r="BU62" i="2" s="1"/>
  <c r="AZ61" i="2"/>
  <c r="BT61" i="2" s="1"/>
  <c r="BE66" i="2"/>
  <c r="BY66" i="2" s="1"/>
  <c r="CW65" i="2"/>
  <c r="BD65" i="2"/>
  <c r="BX65" i="2" s="1"/>
  <c r="CV64" i="2"/>
  <c r="BH69" i="2"/>
  <c r="CB69" i="2" s="1"/>
  <c r="CZ68" i="2"/>
  <c r="BC64" i="2"/>
  <c r="BW64" i="2" s="1"/>
  <c r="CU63" i="2"/>
  <c r="C80" i="1"/>
  <c r="AR80" i="1" s="1"/>
  <c r="BR79" i="1"/>
  <c r="DL49" i="2" l="1"/>
  <c r="DB50" i="2"/>
  <c r="DC50" i="2" s="1"/>
  <c r="BS60" i="2"/>
  <c r="BS61" i="2" s="1"/>
  <c r="BS62" i="2" s="1"/>
  <c r="B93" i="2"/>
  <c r="CE92" i="2"/>
  <c r="CO58" i="2"/>
  <c r="CO57" i="2"/>
  <c r="CM55" i="2"/>
  <c r="CL54" i="2"/>
  <c r="CN56" i="2"/>
  <c r="CK54" i="2"/>
  <c r="CI51" i="2"/>
  <c r="CJ52" i="2"/>
  <c r="BA63" i="2"/>
  <c r="BU63" i="2" s="1"/>
  <c r="CS62" i="2"/>
  <c r="BE67" i="2"/>
  <c r="BY67" i="2" s="1"/>
  <c r="CW66" i="2"/>
  <c r="BI71" i="2"/>
  <c r="CC71" i="2" s="1"/>
  <c r="DA70" i="2"/>
  <c r="BB64" i="2"/>
  <c r="BV64" i="2" s="1"/>
  <c r="CT63" i="2"/>
  <c r="BG69" i="2"/>
  <c r="CA69" i="2" s="1"/>
  <c r="CY68" i="2"/>
  <c r="BH70" i="2"/>
  <c r="CB70" i="2" s="1"/>
  <c r="CZ69" i="2"/>
  <c r="AX60" i="2"/>
  <c r="AX61" i="2" s="1"/>
  <c r="AX62" i="2" s="1"/>
  <c r="AX63" i="2" s="1"/>
  <c r="CP59" i="2"/>
  <c r="AW59" i="2"/>
  <c r="BQ59" i="2" s="1"/>
  <c r="BC65" i="2"/>
  <c r="BW65" i="2" s="1"/>
  <c r="CU64" i="2"/>
  <c r="AZ62" i="2"/>
  <c r="BT62" i="2" s="1"/>
  <c r="CR61" i="2"/>
  <c r="BF68" i="2"/>
  <c r="BZ68" i="2" s="1"/>
  <c r="CX67" i="2"/>
  <c r="BD66" i="2"/>
  <c r="BX66" i="2" s="1"/>
  <c r="CV65" i="2"/>
  <c r="C81" i="1"/>
  <c r="AR81" i="1" s="1"/>
  <c r="BR80" i="1"/>
  <c r="DL50" i="2" l="1"/>
  <c r="DB51" i="2"/>
  <c r="DC51" i="2" s="1"/>
  <c r="B94" i="2"/>
  <c r="CE93" i="2"/>
  <c r="BR60" i="2"/>
  <c r="BR61" i="2" s="1"/>
  <c r="BR62" i="2" s="1"/>
  <c r="BR63" i="2" s="1"/>
  <c r="BR64" i="2" s="1"/>
  <c r="BR65" i="2" s="1"/>
  <c r="CQ60" i="2"/>
  <c r="CN58" i="2"/>
  <c r="CN57" i="2"/>
  <c r="CL55" i="2"/>
  <c r="CM56" i="2"/>
  <c r="CK55" i="2"/>
  <c r="CI52" i="2"/>
  <c r="CJ53" i="2"/>
  <c r="AW60" i="2"/>
  <c r="AW61" i="2" s="1"/>
  <c r="AW62" i="2" s="1"/>
  <c r="AW63" i="2" s="1"/>
  <c r="AW64" i="2" s="1"/>
  <c r="AW65" i="2" s="1"/>
  <c r="AV59" i="2"/>
  <c r="BP59" i="2" s="1"/>
  <c r="BF69" i="2"/>
  <c r="BZ69" i="2" s="1"/>
  <c r="CX68" i="2"/>
  <c r="BE68" i="2"/>
  <c r="BY68" i="2" s="1"/>
  <c r="CW67" i="2"/>
  <c r="BC66" i="2"/>
  <c r="BW66" i="2" s="1"/>
  <c r="CU65" i="2"/>
  <c r="BD67" i="2"/>
  <c r="BX67" i="2" s="1"/>
  <c r="CV66" i="2"/>
  <c r="AZ63" i="2"/>
  <c r="BT63" i="2" s="1"/>
  <c r="CR62" i="2"/>
  <c r="BB65" i="2"/>
  <c r="BV65" i="2" s="1"/>
  <c r="CT64" i="2"/>
  <c r="BI72" i="2"/>
  <c r="CC72" i="2" s="1"/>
  <c r="DA71" i="2"/>
  <c r="BH71" i="2"/>
  <c r="CB71" i="2" s="1"/>
  <c r="CZ70" i="2"/>
  <c r="BG70" i="2"/>
  <c r="CA70" i="2" s="1"/>
  <c r="CY69" i="2"/>
  <c r="BA64" i="2"/>
  <c r="BU64" i="2" s="1"/>
  <c r="CS63" i="2"/>
  <c r="C82" i="1"/>
  <c r="AR82" i="1" s="1"/>
  <c r="BR81" i="1"/>
  <c r="DL51" i="2" l="1"/>
  <c r="DB52" i="2"/>
  <c r="DC52" i="2" s="1"/>
  <c r="B95" i="2"/>
  <c r="CE94" i="2"/>
  <c r="BQ60" i="2"/>
  <c r="BQ61" i="2" s="1"/>
  <c r="BQ62" i="2" s="1"/>
  <c r="BQ63" i="2" s="1"/>
  <c r="BQ64" i="2" s="1"/>
  <c r="BQ65" i="2" s="1"/>
  <c r="CM58" i="2"/>
  <c r="CM57" i="2"/>
  <c r="CL56" i="2"/>
  <c r="CP60" i="2"/>
  <c r="CO59" i="2"/>
  <c r="CK56" i="2"/>
  <c r="CQ62" i="2"/>
  <c r="CQ61" i="2"/>
  <c r="CI53" i="2"/>
  <c r="CJ54" i="2"/>
  <c r="BE69" i="2"/>
  <c r="BY69" i="2" s="1"/>
  <c r="CW68" i="2"/>
  <c r="BG71" i="2"/>
  <c r="CA71" i="2" s="1"/>
  <c r="CY70" i="2"/>
  <c r="BA65" i="2"/>
  <c r="BU65" i="2" s="1"/>
  <c r="CS64" i="2"/>
  <c r="CR63" i="2"/>
  <c r="AZ64" i="2"/>
  <c r="BT64" i="2" s="1"/>
  <c r="AY63" i="2"/>
  <c r="BS63" i="2" s="1"/>
  <c r="BD68" i="2"/>
  <c r="BX68" i="2" s="1"/>
  <c r="CV67" i="2"/>
  <c r="AV60" i="2"/>
  <c r="AV61" i="2" s="1"/>
  <c r="AV62" i="2" s="1"/>
  <c r="AV63" i="2" s="1"/>
  <c r="AV64" i="2" s="1"/>
  <c r="AV65" i="2" s="1"/>
  <c r="AU59" i="2"/>
  <c r="BO59" i="2" s="1"/>
  <c r="BB66" i="2"/>
  <c r="BV66" i="2" s="1"/>
  <c r="CT65" i="2"/>
  <c r="BF70" i="2"/>
  <c r="BZ70" i="2" s="1"/>
  <c r="CX69" i="2"/>
  <c r="BH72" i="2"/>
  <c r="CB72" i="2" s="1"/>
  <c r="CZ71" i="2"/>
  <c r="BI73" i="2"/>
  <c r="CC73" i="2" s="1"/>
  <c r="DA72" i="2"/>
  <c r="BC67" i="2"/>
  <c r="BW67" i="2" s="1"/>
  <c r="CU66" i="2"/>
  <c r="C83" i="1"/>
  <c r="AR83" i="1" s="1"/>
  <c r="BR82" i="1"/>
  <c r="DL52" i="2" l="1"/>
  <c r="BP60" i="2"/>
  <c r="BP61" i="2" s="1"/>
  <c r="BP62" i="2" s="1"/>
  <c r="BP63" i="2" s="1"/>
  <c r="BP64" i="2" s="1"/>
  <c r="BP65" i="2" s="1"/>
  <c r="DB53" i="2"/>
  <c r="DC53" i="2" s="1"/>
  <c r="B96" i="2"/>
  <c r="CE95" i="2"/>
  <c r="CO60" i="2"/>
  <c r="CP61" i="2"/>
  <c r="CL58" i="2"/>
  <c r="CL57" i="2"/>
  <c r="CN60" i="2"/>
  <c r="CN59" i="2"/>
  <c r="CK58" i="2"/>
  <c r="CK57" i="2"/>
  <c r="CI54" i="2"/>
  <c r="CJ55" i="2"/>
  <c r="BI74" i="2"/>
  <c r="CC74" i="2" s="1"/>
  <c r="DA73" i="2"/>
  <c r="BB67" i="2"/>
  <c r="BV67" i="2" s="1"/>
  <c r="CT66" i="2"/>
  <c r="BA66" i="2"/>
  <c r="BU66" i="2" s="1"/>
  <c r="CS65" i="2"/>
  <c r="BG72" i="2"/>
  <c r="CA72" i="2" s="1"/>
  <c r="CY71" i="2"/>
  <c r="AU60" i="2"/>
  <c r="AU61" i="2" s="1"/>
  <c r="AU62" i="2" s="1"/>
  <c r="AU63" i="2" s="1"/>
  <c r="AU64" i="2" s="1"/>
  <c r="AU65" i="2" s="1"/>
  <c r="CM59" i="2"/>
  <c r="AT59" i="2"/>
  <c r="BN59" i="2" s="1"/>
  <c r="BH73" i="2"/>
  <c r="CB73" i="2" s="1"/>
  <c r="CZ72" i="2"/>
  <c r="BD69" i="2"/>
  <c r="BX69" i="2" s="1"/>
  <c r="CV68" i="2"/>
  <c r="BF71" i="2"/>
  <c r="BZ71" i="2" s="1"/>
  <c r="CX70" i="2"/>
  <c r="AY64" i="2"/>
  <c r="BS64" i="2" s="1"/>
  <c r="CQ63" i="2"/>
  <c r="BC68" i="2"/>
  <c r="BW68" i="2" s="1"/>
  <c r="CU67" i="2"/>
  <c r="AZ65" i="2"/>
  <c r="BT65" i="2" s="1"/>
  <c r="CR64" i="2"/>
  <c r="BE70" i="2"/>
  <c r="BY70" i="2" s="1"/>
  <c r="CW69" i="2"/>
  <c r="C84" i="1"/>
  <c r="AR84" i="1" s="1"/>
  <c r="BR83" i="1"/>
  <c r="DL53" i="2" l="1"/>
  <c r="DB54" i="2"/>
  <c r="DC54" i="2" s="1"/>
  <c r="B97" i="2"/>
  <c r="CE96" i="2"/>
  <c r="BO60" i="2"/>
  <c r="BO61" i="2" s="1"/>
  <c r="BO62" i="2" s="1"/>
  <c r="BO63" i="2" s="1"/>
  <c r="BO64" i="2" s="1"/>
  <c r="BO65" i="2" s="1"/>
  <c r="CN61" i="2"/>
  <c r="CP62" i="2"/>
  <c r="CO61" i="2"/>
  <c r="CI55" i="2"/>
  <c r="CJ56" i="2"/>
  <c r="BD70" i="2"/>
  <c r="BX70" i="2" s="1"/>
  <c r="CV69" i="2"/>
  <c r="BG73" i="2"/>
  <c r="CA73" i="2" s="1"/>
  <c r="CY72" i="2"/>
  <c r="AT60" i="2"/>
  <c r="AT61" i="2" s="1"/>
  <c r="AT62" i="2" s="1"/>
  <c r="AT63" i="2" s="1"/>
  <c r="AT64" i="2" s="1"/>
  <c r="AT65" i="2" s="1"/>
  <c r="CL59" i="2"/>
  <c r="AS59" i="2"/>
  <c r="BM59" i="2" s="1"/>
  <c r="BA67" i="2"/>
  <c r="BU67" i="2" s="1"/>
  <c r="CS66" i="2"/>
  <c r="AY65" i="2"/>
  <c r="BS65" i="2" s="1"/>
  <c r="CQ64" i="2"/>
  <c r="BB68" i="2"/>
  <c r="BV68" i="2" s="1"/>
  <c r="CT67" i="2"/>
  <c r="BH74" i="2"/>
  <c r="CB74" i="2" s="1"/>
  <c r="CZ73" i="2"/>
  <c r="BF72" i="2"/>
  <c r="BZ72" i="2" s="1"/>
  <c r="CX71" i="2"/>
  <c r="BC69" i="2"/>
  <c r="BW69" i="2" s="1"/>
  <c r="CU68" i="2"/>
  <c r="BE71" i="2"/>
  <c r="BY71" i="2" s="1"/>
  <c r="CW70" i="2"/>
  <c r="AZ66" i="2"/>
  <c r="BT66" i="2" s="1"/>
  <c r="CR65" i="2"/>
  <c r="BI75" i="2"/>
  <c r="CC75" i="2" s="1"/>
  <c r="DA74" i="2"/>
  <c r="C85" i="1"/>
  <c r="AR85" i="1" s="1"/>
  <c r="BR84" i="1"/>
  <c r="DL54" i="2" l="1"/>
  <c r="BN60" i="2"/>
  <c r="BN61" i="2" s="1"/>
  <c r="BN62" i="2" s="1"/>
  <c r="BN63" i="2" s="1"/>
  <c r="BN64" i="2" s="1"/>
  <c r="BN65" i="2" s="1"/>
  <c r="DB55" i="2"/>
  <c r="DC55" i="2" s="1"/>
  <c r="B98" i="2"/>
  <c r="CE97" i="2"/>
  <c r="CO62" i="2"/>
  <c r="CM60" i="2"/>
  <c r="CP63" i="2"/>
  <c r="CN62" i="2"/>
  <c r="CI56" i="2"/>
  <c r="CJ58" i="2"/>
  <c r="CJ57" i="2"/>
  <c r="BA68" i="2"/>
  <c r="BU68" i="2" s="1"/>
  <c r="CS67" i="2"/>
  <c r="AS60" i="2"/>
  <c r="AS61" i="2" s="1"/>
  <c r="AS62" i="2" s="1"/>
  <c r="AS63" i="2" s="1"/>
  <c r="AS64" i="2" s="1"/>
  <c r="AS65" i="2" s="1"/>
  <c r="AR59" i="2"/>
  <c r="BL59" i="2" s="1"/>
  <c r="CK59" i="2"/>
  <c r="BC70" i="2"/>
  <c r="BW70" i="2" s="1"/>
  <c r="CU69" i="2"/>
  <c r="BI76" i="2"/>
  <c r="CC76" i="2" s="1"/>
  <c r="DA75" i="2"/>
  <c r="BG74" i="2"/>
  <c r="CA74" i="2" s="1"/>
  <c r="CY73" i="2"/>
  <c r="BE72" i="2"/>
  <c r="BY72" i="2" s="1"/>
  <c r="CW71" i="2"/>
  <c r="BF73" i="2"/>
  <c r="BZ73" i="2" s="1"/>
  <c r="CX72" i="2"/>
  <c r="AY66" i="2"/>
  <c r="BS66" i="2" s="1"/>
  <c r="BS67" i="2" s="1"/>
  <c r="CQ65" i="2"/>
  <c r="BH75" i="2"/>
  <c r="CB75" i="2" s="1"/>
  <c r="CZ74" i="2"/>
  <c r="BB69" i="2"/>
  <c r="BV69" i="2" s="1"/>
  <c r="CT68" i="2"/>
  <c r="AZ67" i="2"/>
  <c r="BT67" i="2" s="1"/>
  <c r="CR66" i="2"/>
  <c r="BD71" i="2"/>
  <c r="BX71" i="2" s="1"/>
  <c r="CV70" i="2"/>
  <c r="C86" i="1"/>
  <c r="AR86" i="1" s="1"/>
  <c r="BR85" i="1"/>
  <c r="DL55" i="2" l="1"/>
  <c r="B99" i="2"/>
  <c r="CE98" i="2"/>
  <c r="DB56" i="2"/>
  <c r="DC56" i="2" s="1"/>
  <c r="BM60" i="2"/>
  <c r="BM61" i="2" s="1"/>
  <c r="BM62" i="2" s="1"/>
  <c r="BM63" i="2" s="1"/>
  <c r="BM64" i="2" s="1"/>
  <c r="BM65" i="2" s="1"/>
  <c r="BL60" i="2"/>
  <c r="BL61" i="2" s="1"/>
  <c r="CP65" i="2"/>
  <c r="CP64" i="2"/>
  <c r="CN63" i="2"/>
  <c r="CM61" i="2"/>
  <c r="CL60" i="2"/>
  <c r="CO63" i="2"/>
  <c r="CI58" i="2"/>
  <c r="CI57" i="2"/>
  <c r="AZ68" i="2"/>
  <c r="BT68" i="2" s="1"/>
  <c r="CR67" i="2"/>
  <c r="AR60" i="2"/>
  <c r="AR61" i="2" s="1"/>
  <c r="AR62" i="2" s="1"/>
  <c r="AR63" i="2" s="1"/>
  <c r="AR64" i="2" s="1"/>
  <c r="AR65" i="2" s="1"/>
  <c r="AQ59" i="2"/>
  <c r="BK59" i="2" s="1"/>
  <c r="BC71" i="2"/>
  <c r="BW71" i="2" s="1"/>
  <c r="CU70" i="2"/>
  <c r="BH76" i="2"/>
  <c r="CB76" i="2" s="1"/>
  <c r="CZ75" i="2"/>
  <c r="BD72" i="2"/>
  <c r="BX72" i="2" s="1"/>
  <c r="CV71" i="2"/>
  <c r="BG75" i="2"/>
  <c r="CA75" i="2" s="1"/>
  <c r="CY74" i="2"/>
  <c r="AX66" i="2"/>
  <c r="BR66" i="2" s="1"/>
  <c r="BF74" i="2"/>
  <c r="BZ74" i="2" s="1"/>
  <c r="CX73" i="2"/>
  <c r="BB70" i="2"/>
  <c r="BV70" i="2" s="1"/>
  <c r="CT69" i="2"/>
  <c r="BE73" i="2"/>
  <c r="BY73" i="2" s="1"/>
  <c r="CW72" i="2"/>
  <c r="BI77" i="2"/>
  <c r="CC77" i="2" s="1"/>
  <c r="DA76" i="2"/>
  <c r="BA69" i="2"/>
  <c r="BU69" i="2" s="1"/>
  <c r="CS68" i="2"/>
  <c r="C87" i="1"/>
  <c r="AR87" i="1" s="1"/>
  <c r="BR86" i="1"/>
  <c r="DL56" i="2" l="1"/>
  <c r="BL62" i="2"/>
  <c r="BL63" i="2" s="1"/>
  <c r="BL64" i="2" s="1"/>
  <c r="BL65" i="2" s="1"/>
  <c r="DB57" i="2"/>
  <c r="DC57" i="2" s="1"/>
  <c r="DB58" i="2"/>
  <c r="DC58" i="2" s="1"/>
  <c r="B100" i="2"/>
  <c r="CE99" i="2"/>
  <c r="CL61" i="2"/>
  <c r="CM62" i="2"/>
  <c r="CQ67" i="2"/>
  <c r="CQ66" i="2"/>
  <c r="CK60" i="2"/>
  <c r="CN65" i="2"/>
  <c r="CN64" i="2"/>
  <c r="CO65" i="2"/>
  <c r="CO64" i="2"/>
  <c r="CJ59" i="2"/>
  <c r="BC72" i="2"/>
  <c r="BW72" i="2" s="1"/>
  <c r="CU71" i="2"/>
  <c r="BG76" i="2"/>
  <c r="CA76" i="2" s="1"/>
  <c r="CY75" i="2"/>
  <c r="AQ60" i="2"/>
  <c r="AQ61" i="2" s="1"/>
  <c r="AQ62" i="2" s="1"/>
  <c r="AQ63" i="2" s="1"/>
  <c r="AQ64" i="2" s="1"/>
  <c r="AQ65" i="2" s="1"/>
  <c r="CI59" i="2"/>
  <c r="BB71" i="2"/>
  <c r="BV71" i="2" s="1"/>
  <c r="CT70" i="2"/>
  <c r="BH77" i="2"/>
  <c r="CB77" i="2" s="1"/>
  <c r="CZ76" i="2"/>
  <c r="BE74" i="2"/>
  <c r="BY74" i="2" s="1"/>
  <c r="CW73" i="2"/>
  <c r="BD73" i="2"/>
  <c r="BX73" i="2" s="1"/>
  <c r="CV72" i="2"/>
  <c r="BF75" i="2"/>
  <c r="BZ75" i="2" s="1"/>
  <c r="CX74" i="2"/>
  <c r="CR68" i="2"/>
  <c r="AY68" i="2"/>
  <c r="BS68" i="2" s="1"/>
  <c r="AZ69" i="2"/>
  <c r="BT69" i="2" s="1"/>
  <c r="BA70" i="2"/>
  <c r="BU70" i="2" s="1"/>
  <c r="CS69" i="2"/>
  <c r="BI78" i="2"/>
  <c r="CC78" i="2" s="1"/>
  <c r="DA77" i="2"/>
  <c r="AX67" i="2"/>
  <c r="BR67" i="2" s="1"/>
  <c r="AW66" i="2"/>
  <c r="BQ66" i="2" s="1"/>
  <c r="C88" i="1"/>
  <c r="AR88" i="1" s="1"/>
  <c r="BR87" i="1"/>
  <c r="DL57" i="2" l="1"/>
  <c r="DL58" i="2"/>
  <c r="BK60" i="2"/>
  <c r="BK61" i="2" s="1"/>
  <c r="BK62" i="2" s="1"/>
  <c r="BK63" i="2" s="1"/>
  <c r="BK64" i="2" s="1"/>
  <c r="BK65" i="2" s="1"/>
  <c r="DB59" i="2"/>
  <c r="DC59" i="2" s="1"/>
  <c r="B101" i="2"/>
  <c r="CE100" i="2"/>
  <c r="CP67" i="2"/>
  <c r="CP66" i="2"/>
  <c r="CM63" i="2"/>
  <c r="CK61" i="2"/>
  <c r="CL62" i="2"/>
  <c r="CJ60" i="2"/>
  <c r="BA71" i="2"/>
  <c r="BU71" i="2" s="1"/>
  <c r="CS70" i="2"/>
  <c r="BD74" i="2"/>
  <c r="BX74" i="2" s="1"/>
  <c r="CV73" i="2"/>
  <c r="BE75" i="2"/>
  <c r="BY75" i="2" s="1"/>
  <c r="CW74" i="2"/>
  <c r="AZ70" i="2"/>
  <c r="BT70" i="2" s="1"/>
  <c r="CR69" i="2"/>
  <c r="BG77" i="2"/>
  <c r="CA77" i="2" s="1"/>
  <c r="CY76" i="2"/>
  <c r="AY69" i="2"/>
  <c r="BS69" i="2" s="1"/>
  <c r="CQ68" i="2"/>
  <c r="AX68" i="2"/>
  <c r="BR68" i="2" s="1"/>
  <c r="BH78" i="2"/>
  <c r="CB78" i="2" s="1"/>
  <c r="CZ77" i="2"/>
  <c r="AW67" i="2"/>
  <c r="AW68" i="2" s="1"/>
  <c r="AV66" i="2"/>
  <c r="BP66" i="2" s="1"/>
  <c r="CO66" i="2"/>
  <c r="BI79" i="2"/>
  <c r="CC79" i="2" s="1"/>
  <c r="DA78" i="2"/>
  <c r="BF76" i="2"/>
  <c r="BZ76" i="2" s="1"/>
  <c r="CX75" i="2"/>
  <c r="BB72" i="2"/>
  <c r="BV72" i="2" s="1"/>
  <c r="CT71" i="2"/>
  <c r="BC73" i="2"/>
  <c r="BW73" i="2" s="1"/>
  <c r="CU72" i="2"/>
  <c r="C89" i="1"/>
  <c r="AR89" i="1" s="1"/>
  <c r="BR88" i="1"/>
  <c r="DL59" i="2" l="1"/>
  <c r="CI60" i="2"/>
  <c r="DB60" i="2" s="1"/>
  <c r="DC60" i="2" s="1"/>
  <c r="B102" i="2"/>
  <c r="CE101" i="2"/>
  <c r="BQ67" i="2"/>
  <c r="BQ68" i="2" s="1"/>
  <c r="BQ69" i="2" s="1"/>
  <c r="CL63" i="2"/>
  <c r="CK62" i="2"/>
  <c r="CM65" i="2"/>
  <c r="CM64" i="2"/>
  <c r="CI61" i="2"/>
  <c r="CJ61" i="2"/>
  <c r="BH79" i="2"/>
  <c r="CB79" i="2" s="1"/>
  <c r="CZ78" i="2"/>
  <c r="AZ71" i="2"/>
  <c r="BT71" i="2" s="1"/>
  <c r="CR70" i="2"/>
  <c r="AX69" i="2"/>
  <c r="BR69" i="2" s="1"/>
  <c r="CP68" i="2"/>
  <c r="BC74" i="2"/>
  <c r="BW74" i="2" s="1"/>
  <c r="CU73" i="2"/>
  <c r="AY70" i="2"/>
  <c r="BS70" i="2" s="1"/>
  <c r="CQ69" i="2"/>
  <c r="BD75" i="2"/>
  <c r="BX75" i="2" s="1"/>
  <c r="CV74" i="2"/>
  <c r="BF77" i="2"/>
  <c r="BZ77" i="2" s="1"/>
  <c r="CX76" i="2"/>
  <c r="BI80" i="2"/>
  <c r="CC80" i="2" s="1"/>
  <c r="DA79" i="2"/>
  <c r="AV67" i="2"/>
  <c r="AV68" i="2" s="1"/>
  <c r="AV69" i="2" s="1"/>
  <c r="AV70" i="2" s="1"/>
  <c r="CN66" i="2"/>
  <c r="AU66" i="2"/>
  <c r="BO66" i="2" s="1"/>
  <c r="BE76" i="2"/>
  <c r="BY76" i="2" s="1"/>
  <c r="CW75" i="2"/>
  <c r="BB73" i="2"/>
  <c r="BV73" i="2" s="1"/>
  <c r="CT72" i="2"/>
  <c r="BG78" i="2"/>
  <c r="CA78" i="2" s="1"/>
  <c r="CY77" i="2"/>
  <c r="BA72" i="2"/>
  <c r="BU72" i="2" s="1"/>
  <c r="CS71" i="2"/>
  <c r="C90" i="1"/>
  <c r="AR90" i="1" s="1"/>
  <c r="BR89" i="1"/>
  <c r="DL60" i="2" l="1"/>
  <c r="BP67" i="2"/>
  <c r="BP68" i="2" s="1"/>
  <c r="BP69" i="2" s="1"/>
  <c r="BP70" i="2" s="1"/>
  <c r="DB61" i="2"/>
  <c r="DC61" i="2" s="1"/>
  <c r="B103" i="2"/>
  <c r="CE102" i="2"/>
  <c r="CO67" i="2"/>
  <c r="CK63" i="2"/>
  <c r="CL65" i="2"/>
  <c r="CL64" i="2"/>
  <c r="CI62" i="2"/>
  <c r="CJ62" i="2"/>
  <c r="BC75" i="2"/>
  <c r="BW75" i="2" s="1"/>
  <c r="CU74" i="2"/>
  <c r="BF78" i="2"/>
  <c r="BZ78" i="2" s="1"/>
  <c r="CX77" i="2"/>
  <c r="BI81" i="2"/>
  <c r="CC81" i="2" s="1"/>
  <c r="DA80" i="2"/>
  <c r="BA73" i="2"/>
  <c r="BU73" i="2" s="1"/>
  <c r="CS72" i="2"/>
  <c r="AZ72" i="2"/>
  <c r="BT72" i="2" s="1"/>
  <c r="CR71" i="2"/>
  <c r="BB74" i="2"/>
  <c r="BV74" i="2" s="1"/>
  <c r="CT73" i="2"/>
  <c r="BE77" i="2"/>
  <c r="BY77" i="2" s="1"/>
  <c r="CW76" i="2"/>
  <c r="AX70" i="2"/>
  <c r="BR70" i="2" s="1"/>
  <c r="CP69" i="2"/>
  <c r="AU67" i="2"/>
  <c r="AU68" i="2" s="1"/>
  <c r="AU69" i="2" s="1"/>
  <c r="AU70" i="2" s="1"/>
  <c r="AU71" i="2" s="1"/>
  <c r="AT66" i="2"/>
  <c r="BN66" i="2" s="1"/>
  <c r="BD76" i="2"/>
  <c r="BX76" i="2" s="1"/>
  <c r="CV75" i="2"/>
  <c r="BG79" i="2"/>
  <c r="CA79" i="2" s="1"/>
  <c r="CY78" i="2"/>
  <c r="AY71" i="2"/>
  <c r="BS71" i="2" s="1"/>
  <c r="CQ70" i="2"/>
  <c r="BH80" i="2"/>
  <c r="CB80" i="2" s="1"/>
  <c r="CZ79" i="2"/>
  <c r="C91" i="1"/>
  <c r="AR91" i="1" s="1"/>
  <c r="BR90" i="1"/>
  <c r="DL61" i="2" l="1"/>
  <c r="B104" i="2"/>
  <c r="CE103" i="2"/>
  <c r="DB62" i="2"/>
  <c r="DC62" i="2" s="1"/>
  <c r="BO67" i="2"/>
  <c r="BO68" i="2" s="1"/>
  <c r="BO69" i="2" s="1"/>
  <c r="BO70" i="2" s="1"/>
  <c r="BO71" i="2" s="1"/>
  <c r="CN67" i="2"/>
  <c r="CK65" i="2"/>
  <c r="CK64" i="2"/>
  <c r="CM66" i="2"/>
  <c r="CO69" i="2"/>
  <c r="CO68" i="2"/>
  <c r="CI63" i="2"/>
  <c r="CJ63" i="2"/>
  <c r="BA74" i="2"/>
  <c r="BU74" i="2" s="1"/>
  <c r="CS73" i="2"/>
  <c r="BI82" i="2"/>
  <c r="CC82" i="2" s="1"/>
  <c r="DA81" i="2"/>
  <c r="BD77" i="2"/>
  <c r="BX77" i="2" s="1"/>
  <c r="CV76" i="2"/>
  <c r="BE78" i="2"/>
  <c r="BY78" i="2" s="1"/>
  <c r="CW77" i="2"/>
  <c r="AT67" i="2"/>
  <c r="AT68" i="2" s="1"/>
  <c r="AT69" i="2" s="1"/>
  <c r="AT70" i="2" s="1"/>
  <c r="AT71" i="2" s="1"/>
  <c r="CL66" i="2"/>
  <c r="AS66" i="2"/>
  <c r="BM66" i="2" s="1"/>
  <c r="BB75" i="2"/>
  <c r="BV75" i="2" s="1"/>
  <c r="CT74" i="2"/>
  <c r="BF79" i="2"/>
  <c r="BZ79" i="2" s="1"/>
  <c r="CX78" i="2"/>
  <c r="CP70" i="2"/>
  <c r="AX71" i="2"/>
  <c r="BR71" i="2" s="1"/>
  <c r="AW70" i="2"/>
  <c r="BQ70" i="2" s="1"/>
  <c r="BH81" i="2"/>
  <c r="CB81" i="2" s="1"/>
  <c r="CZ80" i="2"/>
  <c r="AY72" i="2"/>
  <c r="BS72" i="2" s="1"/>
  <c r="CQ71" i="2"/>
  <c r="BG80" i="2"/>
  <c r="CA80" i="2" s="1"/>
  <c r="CY79" i="2"/>
  <c r="AZ73" i="2"/>
  <c r="BT73" i="2" s="1"/>
  <c r="CR72" i="2"/>
  <c r="BC76" i="2"/>
  <c r="BW76" i="2" s="1"/>
  <c r="CU75" i="2"/>
  <c r="C92" i="1"/>
  <c r="AR92" i="1" s="1"/>
  <c r="BR91" i="1"/>
  <c r="DL62" i="2" l="1"/>
  <c r="DB63" i="2"/>
  <c r="DC63" i="2" s="1"/>
  <c r="BN67" i="2"/>
  <c r="BN68" i="2" s="1"/>
  <c r="BN69" i="2" s="1"/>
  <c r="BN70" i="2" s="1"/>
  <c r="BN71" i="2" s="1"/>
  <c r="B105" i="2"/>
  <c r="CE104" i="2"/>
  <c r="CM67" i="2"/>
  <c r="CN68" i="2"/>
  <c r="CI65" i="2"/>
  <c r="CI64" i="2"/>
  <c r="CJ65" i="2"/>
  <c r="CJ64" i="2"/>
  <c r="BE79" i="2"/>
  <c r="BY79" i="2" s="1"/>
  <c r="CW78" i="2"/>
  <c r="BD78" i="2"/>
  <c r="BX78" i="2" s="1"/>
  <c r="CV77" i="2"/>
  <c r="BC77" i="2"/>
  <c r="BW77" i="2" s="1"/>
  <c r="CU76" i="2"/>
  <c r="BB76" i="2"/>
  <c r="BV76" i="2" s="1"/>
  <c r="CT75" i="2"/>
  <c r="AY73" i="2"/>
  <c r="BS73" i="2" s="1"/>
  <c r="CQ72" i="2"/>
  <c r="AZ74" i="2"/>
  <c r="BT74" i="2" s="1"/>
  <c r="CR73" i="2"/>
  <c r="AS67" i="2"/>
  <c r="AS68" i="2" s="1"/>
  <c r="AS69" i="2" s="1"/>
  <c r="AS70" i="2" s="1"/>
  <c r="AS71" i="2" s="1"/>
  <c r="CK66" i="2"/>
  <c r="AR66" i="2"/>
  <c r="BL66" i="2" s="1"/>
  <c r="BI83" i="2"/>
  <c r="CC83" i="2" s="1"/>
  <c r="DA82" i="2"/>
  <c r="BF80" i="2"/>
  <c r="BZ80" i="2" s="1"/>
  <c r="CX79" i="2"/>
  <c r="BH82" i="2"/>
  <c r="CB82" i="2" s="1"/>
  <c r="CZ81" i="2"/>
  <c r="CO70" i="2"/>
  <c r="AW71" i="2"/>
  <c r="BQ71" i="2" s="1"/>
  <c r="BG81" i="2"/>
  <c r="CA81" i="2" s="1"/>
  <c r="CY80" i="2"/>
  <c r="AX72" i="2"/>
  <c r="BR72" i="2" s="1"/>
  <c r="CP71" i="2"/>
  <c r="BA75" i="2"/>
  <c r="BU75" i="2" s="1"/>
  <c r="CS74" i="2"/>
  <c r="C93" i="1"/>
  <c r="AR93" i="1" s="1"/>
  <c r="BR92" i="1"/>
  <c r="DL63" i="2" l="1"/>
  <c r="B106" i="2"/>
  <c r="CE105" i="2"/>
  <c r="BM67" i="2"/>
  <c r="BM68" i="2" s="1"/>
  <c r="BM69" i="2" s="1"/>
  <c r="BM70" i="2" s="1"/>
  <c r="BM71" i="2" s="1"/>
  <c r="DB64" i="2"/>
  <c r="DC64" i="2" s="1"/>
  <c r="DB65" i="2"/>
  <c r="DC65" i="2" s="1"/>
  <c r="CN70" i="2"/>
  <c r="CN69" i="2"/>
  <c r="CL67" i="2"/>
  <c r="CM68" i="2"/>
  <c r="BB77" i="2"/>
  <c r="BV77" i="2" s="1"/>
  <c r="CT76" i="2"/>
  <c r="AW72" i="2"/>
  <c r="BQ72" i="2" s="1"/>
  <c r="CO71" i="2"/>
  <c r="AV71" i="2"/>
  <c r="BP71" i="2" s="1"/>
  <c r="BC78" i="2"/>
  <c r="BW78" i="2" s="1"/>
  <c r="CU77" i="2"/>
  <c r="BA76" i="2"/>
  <c r="BU76" i="2" s="1"/>
  <c r="CS75" i="2"/>
  <c r="AX73" i="2"/>
  <c r="BR73" i="2" s="1"/>
  <c r="CP72" i="2"/>
  <c r="BF81" i="2"/>
  <c r="BZ81" i="2" s="1"/>
  <c r="CX80" i="2"/>
  <c r="BD79" i="2"/>
  <c r="BX79" i="2" s="1"/>
  <c r="CV78" i="2"/>
  <c r="AR67" i="2"/>
  <c r="AR68" i="2" s="1"/>
  <c r="AR69" i="2" s="1"/>
  <c r="AR70" i="2" s="1"/>
  <c r="AR71" i="2" s="1"/>
  <c r="AQ66" i="2"/>
  <c r="BK66" i="2" s="1"/>
  <c r="BH83" i="2"/>
  <c r="CB83" i="2" s="1"/>
  <c r="CZ82" i="2"/>
  <c r="BG82" i="2"/>
  <c r="CA82" i="2" s="1"/>
  <c r="CY81" i="2"/>
  <c r="AY74" i="2"/>
  <c r="BS74" i="2" s="1"/>
  <c r="CQ73" i="2"/>
  <c r="AZ75" i="2"/>
  <c r="BT75" i="2" s="1"/>
  <c r="CR74" i="2"/>
  <c r="BI84" i="2"/>
  <c r="CC84" i="2" s="1"/>
  <c r="DA83" i="2"/>
  <c r="BE80" i="2"/>
  <c r="BY80" i="2" s="1"/>
  <c r="CW79" i="2"/>
  <c r="C94" i="1"/>
  <c r="AR94" i="1" s="1"/>
  <c r="BR93" i="1"/>
  <c r="DL64" i="2" l="1"/>
  <c r="DL65" i="2"/>
  <c r="BL67" i="2"/>
  <c r="BL68" i="2" s="1"/>
  <c r="BL69" i="2" s="1"/>
  <c r="BL70" i="2" s="1"/>
  <c r="BL71" i="2" s="1"/>
  <c r="B107" i="2"/>
  <c r="CE106" i="2"/>
  <c r="CM69" i="2"/>
  <c r="CL68" i="2"/>
  <c r="CK67" i="2"/>
  <c r="CJ66" i="2"/>
  <c r="BC79" i="2"/>
  <c r="BW79" i="2" s="1"/>
  <c r="CU78" i="2"/>
  <c r="BE81" i="2"/>
  <c r="BY81" i="2" s="1"/>
  <c r="CW80" i="2"/>
  <c r="BF82" i="2"/>
  <c r="BZ82" i="2" s="1"/>
  <c r="CX81" i="2"/>
  <c r="AV72" i="2"/>
  <c r="BP72" i="2" s="1"/>
  <c r="BP73" i="2" s="1"/>
  <c r="CN71" i="2"/>
  <c r="BD80" i="2"/>
  <c r="BX80" i="2" s="1"/>
  <c r="CV79" i="2"/>
  <c r="AX74" i="2"/>
  <c r="BR74" i="2" s="1"/>
  <c r="CP73" i="2"/>
  <c r="AW73" i="2"/>
  <c r="BQ73" i="2" s="1"/>
  <c r="CO72" i="2"/>
  <c r="BG83" i="2"/>
  <c r="CA83" i="2" s="1"/>
  <c r="CY82" i="2"/>
  <c r="BH84" i="2"/>
  <c r="CB84" i="2" s="1"/>
  <c r="CZ83" i="2"/>
  <c r="AZ76" i="2"/>
  <c r="BT76" i="2" s="1"/>
  <c r="CR75" i="2"/>
  <c r="AQ67" i="2"/>
  <c r="AQ68" i="2" s="1"/>
  <c r="AQ69" i="2" s="1"/>
  <c r="AQ70" i="2" s="1"/>
  <c r="AQ71" i="2" s="1"/>
  <c r="AY75" i="2"/>
  <c r="BS75" i="2" s="1"/>
  <c r="CQ74" i="2"/>
  <c r="BI85" i="2"/>
  <c r="CC85" i="2" s="1"/>
  <c r="DA84" i="2"/>
  <c r="BA77" i="2"/>
  <c r="BU77" i="2" s="1"/>
  <c r="CS76" i="2"/>
  <c r="BB78" i="2"/>
  <c r="BV78" i="2" s="1"/>
  <c r="CT77" i="2"/>
  <c r="C95" i="1"/>
  <c r="AR95" i="1" s="1"/>
  <c r="BR94" i="1"/>
  <c r="B108" i="2" l="1"/>
  <c r="CE107" i="2"/>
  <c r="BK67" i="2"/>
  <c r="BK68" i="2" s="1"/>
  <c r="BK69" i="2" s="1"/>
  <c r="BK70" i="2" s="1"/>
  <c r="BK71" i="2" s="1"/>
  <c r="CK68" i="2"/>
  <c r="CL69" i="2"/>
  <c r="CM71" i="2"/>
  <c r="CM70" i="2"/>
  <c r="CI66" i="2"/>
  <c r="CJ67" i="2"/>
  <c r="BF83" i="2"/>
  <c r="BZ83" i="2" s="1"/>
  <c r="CX82" i="2"/>
  <c r="AU72" i="2"/>
  <c r="BO72" i="2" s="1"/>
  <c r="BB79" i="2"/>
  <c r="BV79" i="2" s="1"/>
  <c r="CT78" i="2"/>
  <c r="BA78" i="2"/>
  <c r="BU78" i="2" s="1"/>
  <c r="CS77" i="2"/>
  <c r="BH85" i="2"/>
  <c r="CB85" i="2" s="1"/>
  <c r="CZ84" i="2"/>
  <c r="BE82" i="2"/>
  <c r="BY82" i="2" s="1"/>
  <c r="CW81" i="2"/>
  <c r="AZ77" i="2"/>
  <c r="BT77" i="2" s="1"/>
  <c r="CR76" i="2"/>
  <c r="BI86" i="2"/>
  <c r="CC86" i="2" s="1"/>
  <c r="DA85" i="2"/>
  <c r="AW74" i="2"/>
  <c r="BQ74" i="2" s="1"/>
  <c r="BQ75" i="2" s="1"/>
  <c r="CO73" i="2"/>
  <c r="AX75" i="2"/>
  <c r="BR75" i="2" s="1"/>
  <c r="CP74" i="2"/>
  <c r="AY76" i="2"/>
  <c r="BS76" i="2" s="1"/>
  <c r="CQ75" i="2"/>
  <c r="BG84" i="2"/>
  <c r="CA84" i="2" s="1"/>
  <c r="CY83" i="2"/>
  <c r="BD81" i="2"/>
  <c r="BX81" i="2" s="1"/>
  <c r="CV80" i="2"/>
  <c r="BC80" i="2"/>
  <c r="BW80" i="2" s="1"/>
  <c r="CU79" i="2"/>
  <c r="C96" i="1"/>
  <c r="AR96" i="1" s="1"/>
  <c r="BR95" i="1"/>
  <c r="DB66" i="2" l="1"/>
  <c r="DC66" i="2" s="1"/>
  <c r="CI67" i="2"/>
  <c r="B109" i="2"/>
  <c r="CE108" i="2"/>
  <c r="CN73" i="2"/>
  <c r="CN72" i="2"/>
  <c r="CL71" i="2"/>
  <c r="CL70" i="2"/>
  <c r="CK69" i="2"/>
  <c r="CI68" i="2"/>
  <c r="CJ68" i="2"/>
  <c r="BA79" i="2"/>
  <c r="BU79" i="2" s="1"/>
  <c r="CS78" i="2"/>
  <c r="BB80" i="2"/>
  <c r="BV80" i="2" s="1"/>
  <c r="CT79" i="2"/>
  <c r="AU73" i="2"/>
  <c r="BO73" i="2" s="1"/>
  <c r="CM72" i="2"/>
  <c r="AT72" i="2"/>
  <c r="BN72" i="2" s="1"/>
  <c r="AY77" i="2"/>
  <c r="BS77" i="2" s="1"/>
  <c r="CQ76" i="2"/>
  <c r="BC81" i="2"/>
  <c r="BW81" i="2" s="1"/>
  <c r="CU80" i="2"/>
  <c r="BD82" i="2"/>
  <c r="BX82" i="2" s="1"/>
  <c r="CV81" i="2"/>
  <c r="AV74" i="2"/>
  <c r="BP74" i="2" s="1"/>
  <c r="AZ78" i="2"/>
  <c r="BT78" i="2" s="1"/>
  <c r="CR77" i="2"/>
  <c r="BI87" i="2"/>
  <c r="CC87" i="2" s="1"/>
  <c r="DA86" i="2"/>
  <c r="AX76" i="2"/>
  <c r="BR76" i="2" s="1"/>
  <c r="CP75" i="2"/>
  <c r="BE83" i="2"/>
  <c r="BY83" i="2" s="1"/>
  <c r="CW82" i="2"/>
  <c r="BG85" i="2"/>
  <c r="CA85" i="2" s="1"/>
  <c r="CY84" i="2"/>
  <c r="BH86" i="2"/>
  <c r="CB86" i="2" s="1"/>
  <c r="CZ85" i="2"/>
  <c r="BF84" i="2"/>
  <c r="BZ84" i="2" s="1"/>
  <c r="CX83" i="2"/>
  <c r="C97" i="1"/>
  <c r="AR97" i="1" s="1"/>
  <c r="BR96" i="1"/>
  <c r="DL66" i="2" l="1"/>
  <c r="B110" i="2"/>
  <c r="CE109" i="2"/>
  <c r="DB68" i="2"/>
  <c r="DC68" i="2" s="1"/>
  <c r="DB67" i="2"/>
  <c r="DC67" i="2" s="1"/>
  <c r="CK71" i="2"/>
  <c r="CK70" i="2"/>
  <c r="CO75" i="2"/>
  <c r="CO74" i="2"/>
  <c r="CI69" i="2"/>
  <c r="CJ69" i="2"/>
  <c r="AU74" i="2"/>
  <c r="BO74" i="2" s="1"/>
  <c r="AT73" i="2"/>
  <c r="BN73" i="2" s="1"/>
  <c r="AS72" i="2"/>
  <c r="BM72" i="2" s="1"/>
  <c r="CP76" i="2"/>
  <c r="AW76" i="2"/>
  <c r="BQ76" i="2" s="1"/>
  <c r="AX77" i="2"/>
  <c r="BR77" i="2" s="1"/>
  <c r="AY78" i="2"/>
  <c r="BS78" i="2" s="1"/>
  <c r="CQ77" i="2"/>
  <c r="AV75" i="2"/>
  <c r="BP75" i="2" s="1"/>
  <c r="CN74" i="2"/>
  <c r="BH87" i="2"/>
  <c r="CB87" i="2" s="1"/>
  <c r="CZ86" i="2"/>
  <c r="BB81" i="2"/>
  <c r="BV81" i="2" s="1"/>
  <c r="CT80" i="2"/>
  <c r="AZ79" i="2"/>
  <c r="BT79" i="2" s="1"/>
  <c r="CR78" i="2"/>
  <c r="BD83" i="2"/>
  <c r="BX83" i="2" s="1"/>
  <c r="CV82" i="2"/>
  <c r="BC82" i="2"/>
  <c r="BW82" i="2" s="1"/>
  <c r="CU81" i="2"/>
  <c r="BE84" i="2"/>
  <c r="BY84" i="2" s="1"/>
  <c r="CW83" i="2"/>
  <c r="BF85" i="2"/>
  <c r="BZ85" i="2" s="1"/>
  <c r="CX84" i="2"/>
  <c r="BI88" i="2"/>
  <c r="CC88" i="2" s="1"/>
  <c r="DA87" i="2"/>
  <c r="BG86" i="2"/>
  <c r="CA86" i="2" s="1"/>
  <c r="CY85" i="2"/>
  <c r="BA80" i="2"/>
  <c r="BU80" i="2" s="1"/>
  <c r="CS79" i="2"/>
  <c r="C98" i="1"/>
  <c r="AR98" i="1" s="1"/>
  <c r="BR97" i="1"/>
  <c r="DL68" i="2" l="1"/>
  <c r="DL67" i="2"/>
  <c r="AU75" i="2"/>
  <c r="BO75" i="2" s="1"/>
  <c r="B111" i="2"/>
  <c r="CE110" i="2"/>
  <c r="DB69" i="2"/>
  <c r="DC69" i="2" s="1"/>
  <c r="AT74" i="2"/>
  <c r="CL72" i="2"/>
  <c r="CM74" i="2"/>
  <c r="CM73" i="2"/>
  <c r="CI71" i="2"/>
  <c r="CI70" i="2"/>
  <c r="CJ71" i="2"/>
  <c r="CJ70" i="2"/>
  <c r="AX78" i="2"/>
  <c r="BR78" i="2" s="1"/>
  <c r="CP77" i="2"/>
  <c r="AY79" i="2"/>
  <c r="BS79" i="2" s="1"/>
  <c r="CQ78" i="2"/>
  <c r="BE85" i="2"/>
  <c r="BY85" i="2" s="1"/>
  <c r="CW84" i="2"/>
  <c r="AW77" i="2"/>
  <c r="BQ77" i="2" s="1"/>
  <c r="CO76" i="2"/>
  <c r="BD84" i="2"/>
  <c r="BX84" i="2" s="1"/>
  <c r="CV83" i="2"/>
  <c r="BA81" i="2"/>
  <c r="BU81" i="2" s="1"/>
  <c r="CS80" i="2"/>
  <c r="BG87" i="2"/>
  <c r="CA87" i="2" s="1"/>
  <c r="CY86" i="2"/>
  <c r="BH88" i="2"/>
  <c r="CB88" i="2" s="1"/>
  <c r="CZ87" i="2"/>
  <c r="AV76" i="2"/>
  <c r="CN75" i="2"/>
  <c r="AS73" i="2"/>
  <c r="CK72" i="2"/>
  <c r="AR72" i="2"/>
  <c r="BL72" i="2" s="1"/>
  <c r="AZ80" i="2"/>
  <c r="BT80" i="2" s="1"/>
  <c r="CR79" i="2"/>
  <c r="BB82" i="2"/>
  <c r="BV82" i="2" s="1"/>
  <c r="CT81" i="2"/>
  <c r="BC83" i="2"/>
  <c r="BW83" i="2" s="1"/>
  <c r="CU82" i="2"/>
  <c r="BI89" i="2"/>
  <c r="CC89" i="2" s="1"/>
  <c r="DA88" i="2"/>
  <c r="BF86" i="2"/>
  <c r="BZ86" i="2" s="1"/>
  <c r="CX85" i="2"/>
  <c r="C99" i="1"/>
  <c r="AR99" i="1" s="1"/>
  <c r="BR98" i="1"/>
  <c r="DL69" i="2" l="1"/>
  <c r="AT75" i="2"/>
  <c r="AS74" i="2"/>
  <c r="BN74" i="2"/>
  <c r="CM75" i="2"/>
  <c r="DB71" i="2"/>
  <c r="DC71" i="2" s="1"/>
  <c r="B112" i="2"/>
  <c r="CE111" i="2"/>
  <c r="BM73" i="2"/>
  <c r="DB70" i="2"/>
  <c r="AU76" i="2"/>
  <c r="AU77" i="2" s="1"/>
  <c r="BP76" i="2"/>
  <c r="BP77" i="2" s="1"/>
  <c r="CL74" i="2"/>
  <c r="CL73" i="2"/>
  <c r="BG88" i="2"/>
  <c r="CA88" i="2" s="1"/>
  <c r="CY87" i="2"/>
  <c r="BE86" i="2"/>
  <c r="BY86" i="2" s="1"/>
  <c r="CW85" i="2"/>
  <c r="BA82" i="2"/>
  <c r="BU82" i="2" s="1"/>
  <c r="CS81" i="2"/>
  <c r="AW78" i="2"/>
  <c r="BQ78" i="2" s="1"/>
  <c r="CO77" i="2"/>
  <c r="AR73" i="2"/>
  <c r="AQ72" i="2"/>
  <c r="BK72" i="2" s="1"/>
  <c r="AY80" i="2"/>
  <c r="BS80" i="2" s="1"/>
  <c r="CQ79" i="2"/>
  <c r="AZ81" i="2"/>
  <c r="BT81" i="2" s="1"/>
  <c r="CR80" i="2"/>
  <c r="BI90" i="2"/>
  <c r="CC90" i="2" s="1"/>
  <c r="DA89" i="2"/>
  <c r="BB83" i="2"/>
  <c r="BV83" i="2" s="1"/>
  <c r="CT82" i="2"/>
  <c r="BD85" i="2"/>
  <c r="BX85" i="2" s="1"/>
  <c r="CV84" i="2"/>
  <c r="BC84" i="2"/>
  <c r="BW84" i="2" s="1"/>
  <c r="CU83" i="2"/>
  <c r="BF87" i="2"/>
  <c r="BZ87" i="2" s="1"/>
  <c r="CX86" i="2"/>
  <c r="BH89" i="2"/>
  <c r="CB89" i="2" s="1"/>
  <c r="CZ88" i="2"/>
  <c r="AX79" i="2"/>
  <c r="BR79" i="2" s="1"/>
  <c r="CP78" i="2"/>
  <c r="C100" i="1"/>
  <c r="AR100" i="1" s="1"/>
  <c r="BR99" i="1"/>
  <c r="BN75" i="2" l="1"/>
  <c r="DL71" i="2"/>
  <c r="AR74" i="2"/>
  <c r="AS75" i="2"/>
  <c r="DC70" i="2"/>
  <c r="DL70" i="2" s="1"/>
  <c r="AT76" i="2"/>
  <c r="AT77" i="2" s="1"/>
  <c r="AT78" i="2" s="1"/>
  <c r="BM74" i="2"/>
  <c r="BM75" i="2" s="1"/>
  <c r="B113" i="2"/>
  <c r="CE112" i="2"/>
  <c r="BL73" i="2"/>
  <c r="BL74" i="2" s="1"/>
  <c r="BO76" i="2"/>
  <c r="BO77" i="2" s="1"/>
  <c r="CM77" i="2" s="1"/>
  <c r="CN77" i="2"/>
  <c r="CN76" i="2"/>
  <c r="CK73" i="2"/>
  <c r="CL75" i="2"/>
  <c r="CJ72" i="2"/>
  <c r="BA83" i="2"/>
  <c r="BU83" i="2" s="1"/>
  <c r="CS82" i="2"/>
  <c r="AQ73" i="2"/>
  <c r="CI72" i="2"/>
  <c r="CO78" i="2"/>
  <c r="AW79" i="2"/>
  <c r="BQ79" i="2" s="1"/>
  <c r="AV78" i="2"/>
  <c r="BP78" i="2" s="1"/>
  <c r="BB84" i="2"/>
  <c r="BV84" i="2" s="1"/>
  <c r="CT83" i="2"/>
  <c r="BE87" i="2"/>
  <c r="BY87" i="2" s="1"/>
  <c r="CW86" i="2"/>
  <c r="BH90" i="2"/>
  <c r="CB90" i="2" s="1"/>
  <c r="CZ89" i="2"/>
  <c r="BD86" i="2"/>
  <c r="BX86" i="2" s="1"/>
  <c r="CV85" i="2"/>
  <c r="AY81" i="2"/>
  <c r="BS81" i="2" s="1"/>
  <c r="CQ80" i="2"/>
  <c r="BF88" i="2"/>
  <c r="BZ88" i="2" s="1"/>
  <c r="CX87" i="2"/>
  <c r="BC85" i="2"/>
  <c r="BW85" i="2" s="1"/>
  <c r="CU84" i="2"/>
  <c r="BG89" i="2"/>
  <c r="CA89" i="2" s="1"/>
  <c r="CY88" i="2"/>
  <c r="BI91" i="2"/>
  <c r="CC91" i="2" s="1"/>
  <c r="DA90" i="2"/>
  <c r="AS76" i="2"/>
  <c r="AS77" i="2" s="1"/>
  <c r="AS78" i="2" s="1"/>
  <c r="AS79" i="2" s="1"/>
  <c r="AS80" i="2" s="1"/>
  <c r="AX80" i="2"/>
  <c r="BR80" i="2" s="1"/>
  <c r="CP79" i="2"/>
  <c r="AZ82" i="2"/>
  <c r="BT82" i="2" s="1"/>
  <c r="CR81" i="2"/>
  <c r="C101" i="1"/>
  <c r="AR101" i="1" s="1"/>
  <c r="BR100" i="1"/>
  <c r="AQ74" i="2" l="1"/>
  <c r="BK73" i="2"/>
  <c r="BK74" i="2" s="1"/>
  <c r="AR75" i="2"/>
  <c r="AQ75" i="2" s="1"/>
  <c r="CM76" i="2"/>
  <c r="BN76" i="2"/>
  <c r="BN77" i="2" s="1"/>
  <c r="BN78" i="2" s="1"/>
  <c r="BN79" i="2" s="1"/>
  <c r="BN80" i="2" s="1"/>
  <c r="DB72" i="2"/>
  <c r="DC72" i="2" s="1"/>
  <c r="B114" i="2"/>
  <c r="CE113" i="2"/>
  <c r="BM76" i="2"/>
  <c r="BM77" i="2" s="1"/>
  <c r="BM78" i="2" s="1"/>
  <c r="BM79" i="2" s="1"/>
  <c r="BM80" i="2" s="1"/>
  <c r="CK74" i="2"/>
  <c r="CJ73" i="2"/>
  <c r="AZ83" i="2"/>
  <c r="BT83" i="2" s="1"/>
  <c r="CR82" i="2"/>
  <c r="AV79" i="2"/>
  <c r="BP79" i="2" s="1"/>
  <c r="CN78" i="2"/>
  <c r="AU78" i="2"/>
  <c r="BO78" i="2" s="1"/>
  <c r="AW80" i="2"/>
  <c r="BQ80" i="2" s="1"/>
  <c r="CO79" i="2"/>
  <c r="BD87" i="2"/>
  <c r="BX87" i="2" s="1"/>
  <c r="CV86" i="2"/>
  <c r="BH91" i="2"/>
  <c r="CB91" i="2" s="1"/>
  <c r="CZ90" i="2"/>
  <c r="AX81" i="2"/>
  <c r="BR81" i="2" s="1"/>
  <c r="CP80" i="2"/>
  <c r="AR76" i="2"/>
  <c r="BB85" i="2"/>
  <c r="BV85" i="2" s="1"/>
  <c r="CT84" i="2"/>
  <c r="BC86" i="2"/>
  <c r="BW86" i="2" s="1"/>
  <c r="CU85" i="2"/>
  <c r="BE88" i="2"/>
  <c r="BY88" i="2" s="1"/>
  <c r="CW87" i="2"/>
  <c r="BI92" i="2"/>
  <c r="CC92" i="2" s="1"/>
  <c r="DA91" i="2"/>
  <c r="BF89" i="2"/>
  <c r="BZ89" i="2" s="1"/>
  <c r="CX88" i="2"/>
  <c r="BG90" i="2"/>
  <c r="CA90" i="2" s="1"/>
  <c r="CY89" i="2"/>
  <c r="AY82" i="2"/>
  <c r="BS82" i="2" s="1"/>
  <c r="CQ81" i="2"/>
  <c r="BA84" i="2"/>
  <c r="BU84" i="2" s="1"/>
  <c r="CS83" i="2"/>
  <c r="C102" i="1"/>
  <c r="AR102" i="1" s="1"/>
  <c r="BR101" i="1"/>
  <c r="DL72" i="2" l="1"/>
  <c r="CL76" i="2"/>
  <c r="BL75" i="2"/>
  <c r="BL76" i="2" s="1"/>
  <c r="CJ76" i="2" s="1"/>
  <c r="BK75" i="2"/>
  <c r="B115" i="2"/>
  <c r="CE114" i="2"/>
  <c r="CL77" i="2"/>
  <c r="CK75" i="2"/>
  <c r="CI73" i="2"/>
  <c r="CJ74" i="2"/>
  <c r="CJ75" i="2"/>
  <c r="AY83" i="2"/>
  <c r="BS83" i="2" s="1"/>
  <c r="CQ82" i="2"/>
  <c r="BG91" i="2"/>
  <c r="CA91" i="2" s="1"/>
  <c r="CY90" i="2"/>
  <c r="BE89" i="2"/>
  <c r="BY89" i="2" s="1"/>
  <c r="CW88" i="2"/>
  <c r="AR77" i="2"/>
  <c r="AR78" i="2" s="1"/>
  <c r="AR79" i="2" s="1"/>
  <c r="AR80" i="2" s="1"/>
  <c r="AW81" i="2"/>
  <c r="BQ81" i="2" s="1"/>
  <c r="CO80" i="2"/>
  <c r="BF90" i="2"/>
  <c r="BZ90" i="2" s="1"/>
  <c r="CX89" i="2"/>
  <c r="AV80" i="2"/>
  <c r="BP80" i="2" s="1"/>
  <c r="CN79" i="2"/>
  <c r="AU79" i="2"/>
  <c r="BO79" i="2" s="1"/>
  <c r="CM78" i="2"/>
  <c r="BI93" i="2"/>
  <c r="CC93" i="2" s="1"/>
  <c r="DA92" i="2"/>
  <c r="BH92" i="2"/>
  <c r="CB92" i="2" s="1"/>
  <c r="CZ91" i="2"/>
  <c r="BD88" i="2"/>
  <c r="BX88" i="2" s="1"/>
  <c r="CV87" i="2"/>
  <c r="AX82" i="2"/>
  <c r="BR82" i="2" s="1"/>
  <c r="CP81" i="2"/>
  <c r="BC87" i="2"/>
  <c r="BW87" i="2" s="1"/>
  <c r="CU86" i="2"/>
  <c r="BA85" i="2"/>
  <c r="BU85" i="2" s="1"/>
  <c r="CS84" i="2"/>
  <c r="BB86" i="2"/>
  <c r="BV86" i="2" s="1"/>
  <c r="CT85" i="2"/>
  <c r="AQ76" i="2"/>
  <c r="BK76" i="2" s="1"/>
  <c r="AZ84" i="2"/>
  <c r="BT84" i="2" s="1"/>
  <c r="CR83" i="2"/>
  <c r="C103" i="1"/>
  <c r="AR103" i="1" s="1"/>
  <c r="BR102" i="1"/>
  <c r="DB73" i="2" l="1"/>
  <c r="DC73" i="2" s="1"/>
  <c r="B116" i="2"/>
  <c r="CE115" i="2"/>
  <c r="BL77" i="2"/>
  <c r="BL78" i="2" s="1"/>
  <c r="BL79" i="2" s="1"/>
  <c r="BL80" i="2" s="1"/>
  <c r="CK76" i="2"/>
  <c r="CL78" i="2"/>
  <c r="CI75" i="2"/>
  <c r="CI74" i="2"/>
  <c r="BB87" i="2"/>
  <c r="BV87" i="2" s="1"/>
  <c r="CT86" i="2"/>
  <c r="AX83" i="2"/>
  <c r="BR83" i="2" s="1"/>
  <c r="CP82" i="2"/>
  <c r="BH93" i="2"/>
  <c r="CB93" i="2" s="1"/>
  <c r="CZ92" i="2"/>
  <c r="BE90" i="2"/>
  <c r="BY90" i="2" s="1"/>
  <c r="CW89" i="2"/>
  <c r="BA86" i="2"/>
  <c r="BU86" i="2" s="1"/>
  <c r="CS85" i="2"/>
  <c r="BG92" i="2"/>
  <c r="CA92" i="2" s="1"/>
  <c r="CY91" i="2"/>
  <c r="AU80" i="2"/>
  <c r="BO80" i="2" s="1"/>
  <c r="CM79" i="2"/>
  <c r="BD89" i="2"/>
  <c r="BX89" i="2" s="1"/>
  <c r="CV88" i="2"/>
  <c r="BF91" i="2"/>
  <c r="BZ91" i="2" s="1"/>
  <c r="CX90" i="2"/>
  <c r="BC88" i="2"/>
  <c r="BW88" i="2" s="1"/>
  <c r="CU87" i="2"/>
  <c r="AW82" i="2"/>
  <c r="BQ82" i="2" s="1"/>
  <c r="CO81" i="2"/>
  <c r="AQ77" i="2"/>
  <c r="AQ78" i="2" s="1"/>
  <c r="AQ79" i="2" s="1"/>
  <c r="AQ80" i="2" s="1"/>
  <c r="CI76" i="2"/>
  <c r="AV81" i="2"/>
  <c r="BP81" i="2" s="1"/>
  <c r="CN80" i="2"/>
  <c r="BI94" i="2"/>
  <c r="CC94" i="2" s="1"/>
  <c r="DA93" i="2"/>
  <c r="AZ85" i="2"/>
  <c r="BT85" i="2" s="1"/>
  <c r="CR84" i="2"/>
  <c r="AY84" i="2"/>
  <c r="BS84" i="2" s="1"/>
  <c r="CQ83" i="2"/>
  <c r="C104" i="1"/>
  <c r="AR104" i="1" s="1"/>
  <c r="BR103" i="1"/>
  <c r="DL73" i="2" l="1"/>
  <c r="BK77" i="2"/>
  <c r="BK78" i="2" s="1"/>
  <c r="BK79" i="2" s="1"/>
  <c r="BK80" i="2" s="1"/>
  <c r="B117" i="2"/>
  <c r="CE116" i="2"/>
  <c r="DB76" i="2"/>
  <c r="DC76" i="2" s="1"/>
  <c r="DB74" i="2"/>
  <c r="DC74" i="2" s="1"/>
  <c r="DB75" i="2"/>
  <c r="DC75" i="2" s="1"/>
  <c r="CL80" i="2"/>
  <c r="CL79" i="2"/>
  <c r="CK77" i="2"/>
  <c r="CJ77" i="2"/>
  <c r="BE91" i="2"/>
  <c r="BY91" i="2" s="1"/>
  <c r="CW90" i="2"/>
  <c r="AZ86" i="2"/>
  <c r="BT86" i="2" s="1"/>
  <c r="CR85" i="2"/>
  <c r="BG93" i="2"/>
  <c r="CA93" i="2" s="1"/>
  <c r="CY92" i="2"/>
  <c r="AW83" i="2"/>
  <c r="BQ83" i="2" s="1"/>
  <c r="CO82" i="2"/>
  <c r="AX84" i="2"/>
  <c r="BR84" i="2" s="1"/>
  <c r="CP83" i="2"/>
  <c r="BH94" i="2"/>
  <c r="CB94" i="2" s="1"/>
  <c r="CZ93" i="2"/>
  <c r="BC89" i="2"/>
  <c r="BW89" i="2" s="1"/>
  <c r="CU88" i="2"/>
  <c r="BA87" i="2"/>
  <c r="BU87" i="2" s="1"/>
  <c r="CS86" i="2"/>
  <c r="BD90" i="2"/>
  <c r="BX90" i="2" s="1"/>
  <c r="CV89" i="2"/>
  <c r="AU81" i="2"/>
  <c r="BO81" i="2" s="1"/>
  <c r="BO82" i="2" s="1"/>
  <c r="CM80" i="2"/>
  <c r="BI95" i="2"/>
  <c r="CC95" i="2" s="1"/>
  <c r="DA94" i="2"/>
  <c r="AV82" i="2"/>
  <c r="BP82" i="2" s="1"/>
  <c r="CN81" i="2"/>
  <c r="BF92" i="2"/>
  <c r="BZ92" i="2" s="1"/>
  <c r="CX91" i="2"/>
  <c r="CQ84" i="2"/>
  <c r="AY85" i="2"/>
  <c r="BS85" i="2" s="1"/>
  <c r="BB88" i="2"/>
  <c r="BV88" i="2" s="1"/>
  <c r="CT87" i="2"/>
  <c r="C105" i="1"/>
  <c r="AR105" i="1" s="1"/>
  <c r="BR104" i="1"/>
  <c r="DL76" i="2" l="1"/>
  <c r="DL75" i="2"/>
  <c r="DL74" i="2"/>
  <c r="B118" i="2"/>
  <c r="CE117" i="2"/>
  <c r="CK78" i="2"/>
  <c r="CI77" i="2"/>
  <c r="CJ78" i="2"/>
  <c r="AW84" i="2"/>
  <c r="BQ84" i="2" s="1"/>
  <c r="CO83" i="2"/>
  <c r="BB89" i="2"/>
  <c r="BV89" i="2" s="1"/>
  <c r="CT88" i="2"/>
  <c r="BC90" i="2"/>
  <c r="BW90" i="2" s="1"/>
  <c r="CU89" i="2"/>
  <c r="AT81" i="2"/>
  <c r="BN81" i="2" s="1"/>
  <c r="AZ87" i="2"/>
  <c r="BT87" i="2" s="1"/>
  <c r="CR86" i="2"/>
  <c r="BI96" i="2"/>
  <c r="CC96" i="2" s="1"/>
  <c r="DA95" i="2"/>
  <c r="BH95" i="2"/>
  <c r="CB95" i="2" s="1"/>
  <c r="CZ94" i="2"/>
  <c r="BD91" i="2"/>
  <c r="BX91" i="2" s="1"/>
  <c r="CV90" i="2"/>
  <c r="AX85" i="2"/>
  <c r="BR85" i="2" s="1"/>
  <c r="CP84" i="2"/>
  <c r="AY86" i="2"/>
  <c r="BS86" i="2" s="1"/>
  <c r="CQ85" i="2"/>
  <c r="BG94" i="2"/>
  <c r="CA94" i="2" s="1"/>
  <c r="CY93" i="2"/>
  <c r="BF93" i="2"/>
  <c r="BZ93" i="2" s="1"/>
  <c r="CX92" i="2"/>
  <c r="AV83" i="2"/>
  <c r="BP83" i="2" s="1"/>
  <c r="CN82" i="2"/>
  <c r="BA88" i="2"/>
  <c r="BU88" i="2" s="1"/>
  <c r="CS87" i="2"/>
  <c r="BE92" i="2"/>
  <c r="BY92" i="2" s="1"/>
  <c r="CW91" i="2"/>
  <c r="C106" i="1"/>
  <c r="AR106" i="1" s="1"/>
  <c r="BR105" i="1"/>
  <c r="CE118" i="2" l="1"/>
  <c r="DB77" i="2"/>
  <c r="DC77" i="2" s="1"/>
  <c r="CM82" i="2"/>
  <c r="CM81" i="2"/>
  <c r="CK80" i="2"/>
  <c r="CK79" i="2"/>
  <c r="CI78" i="2"/>
  <c r="CJ80" i="2"/>
  <c r="CJ79" i="2"/>
  <c r="BE93" i="2"/>
  <c r="BY93" i="2" s="1"/>
  <c r="CW92" i="2"/>
  <c r="BD92" i="2"/>
  <c r="BX92" i="2" s="1"/>
  <c r="CV91" i="2"/>
  <c r="AY87" i="2"/>
  <c r="BS87" i="2" s="1"/>
  <c r="CQ86" i="2"/>
  <c r="AT82" i="2"/>
  <c r="AT83" i="2" s="1"/>
  <c r="AS81" i="2"/>
  <c r="BM81" i="2" s="1"/>
  <c r="CL81" i="2"/>
  <c r="BG95" i="2"/>
  <c r="CA95" i="2" s="1"/>
  <c r="CY94" i="2"/>
  <c r="BB90" i="2"/>
  <c r="BV90" i="2" s="1"/>
  <c r="CT89" i="2"/>
  <c r="BC91" i="2"/>
  <c r="BW91" i="2" s="1"/>
  <c r="CU90" i="2"/>
  <c r="BA89" i="2"/>
  <c r="BU89" i="2" s="1"/>
  <c r="CS88" i="2"/>
  <c r="CN83" i="2"/>
  <c r="AV84" i="2"/>
  <c r="BP84" i="2" s="1"/>
  <c r="AU83" i="2"/>
  <c r="BO83" i="2" s="1"/>
  <c r="AZ88" i="2"/>
  <c r="BT88" i="2" s="1"/>
  <c r="CR87" i="2"/>
  <c r="AW85" i="2"/>
  <c r="BQ85" i="2" s="1"/>
  <c r="CO84" i="2"/>
  <c r="BF94" i="2"/>
  <c r="BZ94" i="2" s="1"/>
  <c r="CX93" i="2"/>
  <c r="BH96" i="2"/>
  <c r="CB96" i="2" s="1"/>
  <c r="CZ95" i="2"/>
  <c r="BI97" i="2"/>
  <c r="CC97" i="2" s="1"/>
  <c r="DA96" i="2"/>
  <c r="AX86" i="2"/>
  <c r="BR86" i="2" s="1"/>
  <c r="CP85" i="2"/>
  <c r="C107" i="1"/>
  <c r="AR107" i="1" s="1"/>
  <c r="BR106" i="1"/>
  <c r="DL77" i="2" l="1"/>
  <c r="DB78" i="2"/>
  <c r="DC78" i="2" s="1"/>
  <c r="BN82" i="2"/>
  <c r="BN83" i="2" s="1"/>
  <c r="CI80" i="2"/>
  <c r="CI79" i="2"/>
  <c r="BC92" i="2"/>
  <c r="BW92" i="2" s="1"/>
  <c r="CU91" i="2"/>
  <c r="AS82" i="2"/>
  <c r="AS83" i="2" s="1"/>
  <c r="AS84" i="2" s="1"/>
  <c r="AR81" i="2"/>
  <c r="BL81" i="2" s="1"/>
  <c r="AY88" i="2"/>
  <c r="BS88" i="2" s="1"/>
  <c r="CQ87" i="2"/>
  <c r="AU84" i="2"/>
  <c r="BO84" i="2" s="1"/>
  <c r="CM83" i="2"/>
  <c r="BA90" i="2"/>
  <c r="BU90" i="2" s="1"/>
  <c r="CS89" i="2"/>
  <c r="AZ89" i="2"/>
  <c r="BT89" i="2" s="1"/>
  <c r="CR88" i="2"/>
  <c r="AV85" i="2"/>
  <c r="BP85" i="2" s="1"/>
  <c r="CN84" i="2"/>
  <c r="BD93" i="2"/>
  <c r="BX93" i="2" s="1"/>
  <c r="CV92" i="2"/>
  <c r="AX87" i="2"/>
  <c r="BR87" i="2" s="1"/>
  <c r="CP86" i="2"/>
  <c r="BI98" i="2"/>
  <c r="CC98" i="2" s="1"/>
  <c r="DA97" i="2"/>
  <c r="BB91" i="2"/>
  <c r="BV91" i="2" s="1"/>
  <c r="CT90" i="2"/>
  <c r="BG96" i="2"/>
  <c r="CA96" i="2" s="1"/>
  <c r="CY95" i="2"/>
  <c r="AW86" i="2"/>
  <c r="BQ86" i="2" s="1"/>
  <c r="CO85" i="2"/>
  <c r="BH97" i="2"/>
  <c r="CB97" i="2" s="1"/>
  <c r="CZ96" i="2"/>
  <c r="BF95" i="2"/>
  <c r="BZ95" i="2" s="1"/>
  <c r="CX94" i="2"/>
  <c r="BE94" i="2"/>
  <c r="BY94" i="2" s="1"/>
  <c r="CW93" i="2"/>
  <c r="C108" i="1"/>
  <c r="AR108" i="1" s="1"/>
  <c r="BR107" i="1"/>
  <c r="DL78" i="2" l="1"/>
  <c r="BM82" i="2"/>
  <c r="BM83" i="2" s="1"/>
  <c r="BM84" i="2" s="1"/>
  <c r="BM85" i="2" s="1"/>
  <c r="DB79" i="2"/>
  <c r="DC79" i="2" s="1"/>
  <c r="DB80" i="2"/>
  <c r="DC80" i="2" s="1"/>
  <c r="CK81" i="2"/>
  <c r="CL83" i="2"/>
  <c r="CL82" i="2"/>
  <c r="BB92" i="2"/>
  <c r="BV92" i="2" s="1"/>
  <c r="CT91" i="2"/>
  <c r="AY89" i="2"/>
  <c r="BS89" i="2" s="1"/>
  <c r="CQ88" i="2"/>
  <c r="AZ90" i="2"/>
  <c r="BT90" i="2" s="1"/>
  <c r="CR89" i="2"/>
  <c r="BI99" i="2"/>
  <c r="CC99" i="2" s="1"/>
  <c r="DA98" i="2"/>
  <c r="AW87" i="2"/>
  <c r="BQ87" i="2" s="1"/>
  <c r="CO86" i="2"/>
  <c r="AX88" i="2"/>
  <c r="BR88" i="2" s="1"/>
  <c r="CP87" i="2"/>
  <c r="BA91" i="2"/>
  <c r="BU91" i="2" s="1"/>
  <c r="CS90" i="2"/>
  <c r="BF96" i="2"/>
  <c r="BZ96" i="2" s="1"/>
  <c r="CX95" i="2"/>
  <c r="AR82" i="2"/>
  <c r="AR83" i="2" s="1"/>
  <c r="AR84" i="2" s="1"/>
  <c r="AR85" i="2" s="1"/>
  <c r="CJ81" i="2"/>
  <c r="AQ81" i="2"/>
  <c r="BK81" i="2" s="1"/>
  <c r="BC93" i="2"/>
  <c r="BW93" i="2" s="1"/>
  <c r="CU92" i="2"/>
  <c r="AV86" i="2"/>
  <c r="BP86" i="2" s="1"/>
  <c r="CN85" i="2"/>
  <c r="BH98" i="2"/>
  <c r="CB98" i="2" s="1"/>
  <c r="CZ97" i="2"/>
  <c r="BE95" i="2"/>
  <c r="BY95" i="2" s="1"/>
  <c r="CW94" i="2"/>
  <c r="BG97" i="2"/>
  <c r="CA97" i="2" s="1"/>
  <c r="CY96" i="2"/>
  <c r="BD94" i="2"/>
  <c r="BX94" i="2" s="1"/>
  <c r="CV93" i="2"/>
  <c r="AU85" i="2"/>
  <c r="BO85" i="2" s="1"/>
  <c r="CM84" i="2"/>
  <c r="AT84" i="2"/>
  <c r="BN84" i="2" s="1"/>
  <c r="C109" i="1"/>
  <c r="AR109" i="1" s="1"/>
  <c r="BR108" i="1"/>
  <c r="DL80" i="2" l="1"/>
  <c r="DL79" i="2"/>
  <c r="CK82" i="2"/>
  <c r="BL82" i="2"/>
  <c r="BL83" i="2" s="1"/>
  <c r="BL84" i="2" s="1"/>
  <c r="BL85" i="2" s="1"/>
  <c r="CK83" i="2"/>
  <c r="BF97" i="2"/>
  <c r="BZ97" i="2" s="1"/>
  <c r="CX96" i="2"/>
  <c r="AZ91" i="2"/>
  <c r="BT91" i="2" s="1"/>
  <c r="CR90" i="2"/>
  <c r="BG98" i="2"/>
  <c r="CA98" i="2" s="1"/>
  <c r="CY97" i="2"/>
  <c r="AV87" i="2"/>
  <c r="BP87" i="2" s="1"/>
  <c r="CN86" i="2"/>
  <c r="AQ82" i="2"/>
  <c r="AQ83" i="2" s="1"/>
  <c r="AQ84" i="2" s="1"/>
  <c r="AQ85" i="2" s="1"/>
  <c r="CI81" i="2"/>
  <c r="AT85" i="2"/>
  <c r="BN85" i="2" s="1"/>
  <c r="CL84" i="2"/>
  <c r="BE96" i="2"/>
  <c r="BY96" i="2" s="1"/>
  <c r="CW95" i="2"/>
  <c r="AY90" i="2"/>
  <c r="BS90" i="2" s="1"/>
  <c r="CQ89" i="2"/>
  <c r="BI100" i="2"/>
  <c r="CC100" i="2" s="1"/>
  <c r="DA99" i="2"/>
  <c r="BA92" i="2"/>
  <c r="BU92" i="2" s="1"/>
  <c r="CS91" i="2"/>
  <c r="AW88" i="2"/>
  <c r="BQ88" i="2" s="1"/>
  <c r="CO87" i="2"/>
  <c r="BD95" i="2"/>
  <c r="BX95" i="2" s="1"/>
  <c r="CV94" i="2"/>
  <c r="BC94" i="2"/>
  <c r="BW94" i="2" s="1"/>
  <c r="CU93" i="2"/>
  <c r="AX89" i="2"/>
  <c r="BR89" i="2" s="1"/>
  <c r="CP88" i="2"/>
  <c r="AU86" i="2"/>
  <c r="BO86" i="2" s="1"/>
  <c r="CM85" i="2"/>
  <c r="BH99" i="2"/>
  <c r="CB99" i="2" s="1"/>
  <c r="CZ98" i="2"/>
  <c r="BB93" i="2"/>
  <c r="BV93" i="2" s="1"/>
  <c r="CT92" i="2"/>
  <c r="C110" i="1"/>
  <c r="AR110" i="1" s="1"/>
  <c r="BR109" i="1"/>
  <c r="CJ82" i="2" l="1"/>
  <c r="DB81" i="2"/>
  <c r="DC81" i="2" s="1"/>
  <c r="BK82" i="2"/>
  <c r="BK83" i="2" s="1"/>
  <c r="BK84" i="2" s="1"/>
  <c r="BK85" i="2" s="1"/>
  <c r="CK85" i="2"/>
  <c r="CK84" i="2"/>
  <c r="CJ83" i="2"/>
  <c r="AX90" i="2"/>
  <c r="BR90" i="2" s="1"/>
  <c r="CP89" i="2"/>
  <c r="AW89" i="2"/>
  <c r="BQ89" i="2" s="1"/>
  <c r="CO88" i="2"/>
  <c r="AU87" i="2"/>
  <c r="BO87" i="2" s="1"/>
  <c r="CM86" i="2"/>
  <c r="BE97" i="2"/>
  <c r="BY97" i="2" s="1"/>
  <c r="CW96" i="2"/>
  <c r="BC95" i="2"/>
  <c r="BW95" i="2" s="1"/>
  <c r="CU94" i="2"/>
  <c r="AT86" i="2"/>
  <c r="BN86" i="2" s="1"/>
  <c r="BN87" i="2" s="1"/>
  <c r="CL85" i="2"/>
  <c r="AV88" i="2"/>
  <c r="BP88" i="2" s="1"/>
  <c r="CN87" i="2"/>
  <c r="BI101" i="2"/>
  <c r="CC101" i="2" s="1"/>
  <c r="DA100" i="2"/>
  <c r="AZ92" i="2"/>
  <c r="BT92" i="2" s="1"/>
  <c r="CR91" i="2"/>
  <c r="BG99" i="2"/>
  <c r="CA99" i="2" s="1"/>
  <c r="CY98" i="2"/>
  <c r="BB94" i="2"/>
  <c r="BV94" i="2" s="1"/>
  <c r="CT93" i="2"/>
  <c r="BD96" i="2"/>
  <c r="BX96" i="2" s="1"/>
  <c r="CV95" i="2"/>
  <c r="BA93" i="2"/>
  <c r="BU93" i="2" s="1"/>
  <c r="CS92" i="2"/>
  <c r="BH100" i="2"/>
  <c r="CB100" i="2" s="1"/>
  <c r="CZ99" i="2"/>
  <c r="AY91" i="2"/>
  <c r="BS91" i="2" s="1"/>
  <c r="CQ90" i="2"/>
  <c r="BF98" i="2"/>
  <c r="BZ98" i="2" s="1"/>
  <c r="CX97" i="2"/>
  <c r="BR110" i="1"/>
  <c r="DL81" i="2" l="1"/>
  <c r="CI82" i="2"/>
  <c r="CJ85" i="2"/>
  <c r="CJ84" i="2"/>
  <c r="BE98" i="2"/>
  <c r="BY98" i="2" s="1"/>
  <c r="CW97" i="2"/>
  <c r="AY92" i="2"/>
  <c r="BS92" i="2" s="1"/>
  <c r="CQ91" i="2"/>
  <c r="AU88" i="2"/>
  <c r="BO88" i="2" s="1"/>
  <c r="CM87" i="2"/>
  <c r="BI102" i="2"/>
  <c r="CC102" i="2" s="1"/>
  <c r="DA101" i="2"/>
  <c r="BH101" i="2"/>
  <c r="CB101" i="2" s="1"/>
  <c r="CZ100" i="2"/>
  <c r="BA94" i="2"/>
  <c r="BU94" i="2" s="1"/>
  <c r="CS93" i="2"/>
  <c r="AS86" i="2"/>
  <c r="BM86" i="2" s="1"/>
  <c r="AW90" i="2"/>
  <c r="BQ90" i="2" s="1"/>
  <c r="CO89" i="2"/>
  <c r="BB95" i="2"/>
  <c r="BV95" i="2" s="1"/>
  <c r="CT94" i="2"/>
  <c r="BG100" i="2"/>
  <c r="CA100" i="2" s="1"/>
  <c r="CY99" i="2"/>
  <c r="AZ93" i="2"/>
  <c r="BT93" i="2" s="1"/>
  <c r="CR92" i="2"/>
  <c r="BD97" i="2"/>
  <c r="BX97" i="2" s="1"/>
  <c r="CV96" i="2"/>
  <c r="AV89" i="2"/>
  <c r="BP89" i="2" s="1"/>
  <c r="CN88" i="2"/>
  <c r="BF99" i="2"/>
  <c r="BZ99" i="2" s="1"/>
  <c r="CX98" i="2"/>
  <c r="BC96" i="2"/>
  <c r="BW96" i="2" s="1"/>
  <c r="CU95" i="2"/>
  <c r="AX91" i="2"/>
  <c r="BR91" i="2" s="1"/>
  <c r="CP90" i="2"/>
  <c r="DB82" i="2" l="1"/>
  <c r="DC82" i="2" s="1"/>
  <c r="CL87" i="2"/>
  <c r="CL86" i="2"/>
  <c r="CI83" i="2"/>
  <c r="BI103" i="2"/>
  <c r="CC103" i="2" s="1"/>
  <c r="DA102" i="2"/>
  <c r="CM88" i="2"/>
  <c r="AT88" i="2"/>
  <c r="BN88" i="2" s="1"/>
  <c r="AU89" i="2"/>
  <c r="BO89" i="2" s="1"/>
  <c r="AW91" i="2"/>
  <c r="BQ91" i="2" s="1"/>
  <c r="CO90" i="2"/>
  <c r="AX92" i="2"/>
  <c r="BR92" i="2" s="1"/>
  <c r="CP91" i="2"/>
  <c r="AS87" i="2"/>
  <c r="AS88" i="2" s="1"/>
  <c r="AR86" i="2"/>
  <c r="BL86" i="2" s="1"/>
  <c r="BA95" i="2"/>
  <c r="BU95" i="2" s="1"/>
  <c r="CS94" i="2"/>
  <c r="AY93" i="2"/>
  <c r="BS93" i="2" s="1"/>
  <c r="CQ92" i="2"/>
  <c r="BD98" i="2"/>
  <c r="BX98" i="2" s="1"/>
  <c r="CV97" i="2"/>
  <c r="AZ94" i="2"/>
  <c r="BT94" i="2" s="1"/>
  <c r="CR93" i="2"/>
  <c r="BG101" i="2"/>
  <c r="CA101" i="2" s="1"/>
  <c r="CY100" i="2"/>
  <c r="BC97" i="2"/>
  <c r="BW97" i="2" s="1"/>
  <c r="CU96" i="2"/>
  <c r="BF100" i="2"/>
  <c r="BZ100" i="2" s="1"/>
  <c r="CX99" i="2"/>
  <c r="AV90" i="2"/>
  <c r="BP90" i="2" s="1"/>
  <c r="CN89" i="2"/>
  <c r="BB96" i="2"/>
  <c r="BV96" i="2" s="1"/>
  <c r="CT95" i="2"/>
  <c r="BH102" i="2"/>
  <c r="CB102" i="2" s="1"/>
  <c r="CZ101" i="2"/>
  <c r="BE99" i="2"/>
  <c r="BY99" i="2" s="1"/>
  <c r="CW98" i="2"/>
  <c r="DL82" i="2" l="1"/>
  <c r="DB83" i="2"/>
  <c r="DC83" i="2" s="1"/>
  <c r="BM87" i="2"/>
  <c r="BM88" i="2" s="1"/>
  <c r="CK88" i="2" s="1"/>
  <c r="CK86" i="2"/>
  <c r="CI85" i="2"/>
  <c r="CI84" i="2"/>
  <c r="AY94" i="2"/>
  <c r="BS94" i="2" s="1"/>
  <c r="CQ93" i="2"/>
  <c r="BC98" i="2"/>
  <c r="BW98" i="2" s="1"/>
  <c r="CU97" i="2"/>
  <c r="AU90" i="2"/>
  <c r="BO90" i="2" s="1"/>
  <c r="CM89" i="2"/>
  <c r="AW92" i="2"/>
  <c r="BQ92" i="2" s="1"/>
  <c r="CO91" i="2"/>
  <c r="AR87" i="2"/>
  <c r="AR88" i="2" s="1"/>
  <c r="AQ86" i="2"/>
  <c r="BK86" i="2" s="1"/>
  <c r="AT89" i="2"/>
  <c r="BN89" i="2" s="1"/>
  <c r="BN90" i="2" s="1"/>
  <c r="BN91" i="2" s="1"/>
  <c r="CL88" i="2"/>
  <c r="BG102" i="2"/>
  <c r="CA102" i="2" s="1"/>
  <c r="CY101" i="2"/>
  <c r="AV91" i="2"/>
  <c r="BP91" i="2" s="1"/>
  <c r="CN90" i="2"/>
  <c r="AZ95" i="2"/>
  <c r="BT95" i="2" s="1"/>
  <c r="CR94" i="2"/>
  <c r="BH103" i="2"/>
  <c r="CB103" i="2" s="1"/>
  <c r="CZ102" i="2"/>
  <c r="BB97" i="2"/>
  <c r="BV97" i="2" s="1"/>
  <c r="CT96" i="2"/>
  <c r="AX93" i="2"/>
  <c r="BR93" i="2" s="1"/>
  <c r="CP92" i="2"/>
  <c r="BA96" i="2"/>
  <c r="BU96" i="2" s="1"/>
  <c r="CS95" i="2"/>
  <c r="BE100" i="2"/>
  <c r="BY100" i="2" s="1"/>
  <c r="CW99" i="2"/>
  <c r="BF101" i="2"/>
  <c r="BZ101" i="2" s="1"/>
  <c r="CX100" i="2"/>
  <c r="BD99" i="2"/>
  <c r="BX99" i="2" s="1"/>
  <c r="CV98" i="2"/>
  <c r="BI104" i="2"/>
  <c r="CC104" i="2" s="1"/>
  <c r="DA103" i="2"/>
  <c r="DL83" i="2" l="1"/>
  <c r="CK87" i="2"/>
  <c r="DB84" i="2"/>
  <c r="DC84" i="2" s="1"/>
  <c r="DB85" i="2"/>
  <c r="DC85" i="2" s="1"/>
  <c r="BL87" i="2"/>
  <c r="BL88" i="2" s="1"/>
  <c r="CL89" i="2"/>
  <c r="CJ86" i="2"/>
  <c r="BF102" i="2"/>
  <c r="BZ102" i="2" s="1"/>
  <c r="CX101" i="2"/>
  <c r="BB98" i="2"/>
  <c r="BV98" i="2" s="1"/>
  <c r="CT97" i="2"/>
  <c r="AW93" i="2"/>
  <c r="BQ93" i="2" s="1"/>
  <c r="CO92" i="2"/>
  <c r="BH104" i="2"/>
  <c r="CB104" i="2" s="1"/>
  <c r="CZ103" i="2"/>
  <c r="AU91" i="2"/>
  <c r="BO91" i="2" s="1"/>
  <c r="CM90" i="2"/>
  <c r="BE101" i="2"/>
  <c r="BY101" i="2" s="1"/>
  <c r="CW100" i="2"/>
  <c r="BC99" i="2"/>
  <c r="BW99" i="2" s="1"/>
  <c r="CU98" i="2"/>
  <c r="BG103" i="2"/>
  <c r="CA103" i="2" s="1"/>
  <c r="CY102" i="2"/>
  <c r="BI105" i="2"/>
  <c r="CC105" i="2" s="1"/>
  <c r="DA104" i="2"/>
  <c r="BD100" i="2"/>
  <c r="BX100" i="2" s="1"/>
  <c r="CV99" i="2"/>
  <c r="AX94" i="2"/>
  <c r="BR94" i="2" s="1"/>
  <c r="CP93" i="2"/>
  <c r="AZ96" i="2"/>
  <c r="BT96" i="2" s="1"/>
  <c r="CR95" i="2"/>
  <c r="AQ87" i="2"/>
  <c r="AQ88" i="2" s="1"/>
  <c r="CI86" i="2"/>
  <c r="AV92" i="2"/>
  <c r="BP92" i="2" s="1"/>
  <c r="CN91" i="2"/>
  <c r="BA97" i="2"/>
  <c r="BU97" i="2" s="1"/>
  <c r="CS96" i="2"/>
  <c r="AS89" i="2"/>
  <c r="AS90" i="2" s="1"/>
  <c r="AS91" i="2" s="1"/>
  <c r="AS92" i="2" s="1"/>
  <c r="AY95" i="2"/>
  <c r="BS95" i="2" s="1"/>
  <c r="CQ94" i="2"/>
  <c r="DL85" i="2" l="1"/>
  <c r="DL84" i="2"/>
  <c r="BK87" i="2"/>
  <c r="BK88" i="2" s="1"/>
  <c r="BM89" i="2"/>
  <c r="BM90" i="2" s="1"/>
  <c r="BM91" i="2" s="1"/>
  <c r="BM92" i="2" s="1"/>
  <c r="DB86" i="2"/>
  <c r="DC86" i="2" s="1"/>
  <c r="AR89" i="2"/>
  <c r="AR90" i="2" s="1"/>
  <c r="AR91" i="2" s="1"/>
  <c r="AR92" i="2" s="1"/>
  <c r="AR93" i="2" s="1"/>
  <c r="CL91" i="2"/>
  <c r="CL90" i="2"/>
  <c r="CJ87" i="2"/>
  <c r="CI87" i="2"/>
  <c r="AX95" i="2"/>
  <c r="BR95" i="2" s="1"/>
  <c r="CP94" i="2"/>
  <c r="BC100" i="2"/>
  <c r="BW100" i="2" s="1"/>
  <c r="CU99" i="2"/>
  <c r="BH105" i="2"/>
  <c r="CB105" i="2" s="1"/>
  <c r="CZ104" i="2"/>
  <c r="AW94" i="2"/>
  <c r="BQ94" i="2" s="1"/>
  <c r="CO93" i="2"/>
  <c r="BD101" i="2"/>
  <c r="BX101" i="2" s="1"/>
  <c r="CV100" i="2"/>
  <c r="BI106" i="2"/>
  <c r="CC106" i="2" s="1"/>
  <c r="DA105" i="2"/>
  <c r="BE102" i="2"/>
  <c r="BY102" i="2" s="1"/>
  <c r="CW101" i="2"/>
  <c r="BB99" i="2"/>
  <c r="BV99" i="2" s="1"/>
  <c r="CT98" i="2"/>
  <c r="BA98" i="2"/>
  <c r="BU98" i="2" s="1"/>
  <c r="CS97" i="2"/>
  <c r="AV93" i="2"/>
  <c r="BP93" i="2" s="1"/>
  <c r="CN92" i="2"/>
  <c r="AY96" i="2"/>
  <c r="BS96" i="2" s="1"/>
  <c r="CQ95" i="2"/>
  <c r="AZ97" i="2"/>
  <c r="BT97" i="2" s="1"/>
  <c r="CR96" i="2"/>
  <c r="BG104" i="2"/>
  <c r="CA104" i="2" s="1"/>
  <c r="CY103" i="2"/>
  <c r="AU92" i="2"/>
  <c r="BO92" i="2" s="1"/>
  <c r="CM91" i="2"/>
  <c r="BF103" i="2"/>
  <c r="BZ103" i="2" s="1"/>
  <c r="CX102" i="2"/>
  <c r="DL86" i="2" l="1"/>
  <c r="CK89" i="2"/>
  <c r="DB87" i="2"/>
  <c r="DC87" i="2" s="1"/>
  <c r="AQ89" i="2"/>
  <c r="AQ90" i="2" s="1"/>
  <c r="AQ91" i="2" s="1"/>
  <c r="AQ92" i="2" s="1"/>
  <c r="AQ93" i="2" s="1"/>
  <c r="BL89" i="2"/>
  <c r="BL90" i="2" s="1"/>
  <c r="BL91" i="2" s="1"/>
  <c r="BL92" i="2" s="1"/>
  <c r="BL93" i="2" s="1"/>
  <c r="CK90" i="2"/>
  <c r="CI88" i="2"/>
  <c r="CJ88" i="2"/>
  <c r="AW95" i="2"/>
  <c r="BQ95" i="2" s="1"/>
  <c r="CO94" i="2"/>
  <c r="BH106" i="2"/>
  <c r="CB106" i="2" s="1"/>
  <c r="CZ105" i="2"/>
  <c r="BG105" i="2"/>
  <c r="CA105" i="2" s="1"/>
  <c r="CY104" i="2"/>
  <c r="BA99" i="2"/>
  <c r="BU99" i="2" s="1"/>
  <c r="CS98" i="2"/>
  <c r="BE103" i="2"/>
  <c r="BY103" i="2" s="1"/>
  <c r="CW102" i="2"/>
  <c r="BC101" i="2"/>
  <c r="BW101" i="2" s="1"/>
  <c r="CU100" i="2"/>
  <c r="CM92" i="2"/>
  <c r="AT92" i="2"/>
  <c r="BN92" i="2" s="1"/>
  <c r="AU93" i="2"/>
  <c r="BO93" i="2" s="1"/>
  <c r="BI107" i="2"/>
  <c r="CC107" i="2" s="1"/>
  <c r="DA106" i="2"/>
  <c r="AZ98" i="2"/>
  <c r="BT98" i="2" s="1"/>
  <c r="CR97" i="2"/>
  <c r="BD102" i="2"/>
  <c r="BX102" i="2" s="1"/>
  <c r="CV101" i="2"/>
  <c r="AV94" i="2"/>
  <c r="BP94" i="2" s="1"/>
  <c r="CN93" i="2"/>
  <c r="BF104" i="2"/>
  <c r="BZ104" i="2" s="1"/>
  <c r="CX103" i="2"/>
  <c r="BB100" i="2"/>
  <c r="BV100" i="2" s="1"/>
  <c r="CT99" i="2"/>
  <c r="AY97" i="2"/>
  <c r="BS97" i="2" s="1"/>
  <c r="CQ96" i="2"/>
  <c r="AX96" i="2"/>
  <c r="BR96" i="2" s="1"/>
  <c r="CP95" i="2"/>
  <c r="DL87" i="2" l="1"/>
  <c r="BK89" i="2"/>
  <c r="BK90" i="2" s="1"/>
  <c r="BK91" i="2"/>
  <c r="DB88" i="2"/>
  <c r="DC88" i="2" s="1"/>
  <c r="BK92" i="2"/>
  <c r="BK93" i="2" s="1"/>
  <c r="CK92" i="2"/>
  <c r="CK91" i="2"/>
  <c r="CI89" i="2"/>
  <c r="CJ89" i="2"/>
  <c r="BA100" i="2"/>
  <c r="BU100" i="2" s="1"/>
  <c r="CS99" i="2"/>
  <c r="BG106" i="2"/>
  <c r="CA106" i="2" s="1"/>
  <c r="CY105" i="2"/>
  <c r="BI108" i="2"/>
  <c r="CC108" i="2" s="1"/>
  <c r="DA107" i="2"/>
  <c r="AV95" i="2"/>
  <c r="BP95" i="2" s="1"/>
  <c r="CN94" i="2"/>
  <c r="AU94" i="2"/>
  <c r="BO94" i="2" s="1"/>
  <c r="CM93" i="2"/>
  <c r="AY98" i="2"/>
  <c r="BS98" i="2" s="1"/>
  <c r="CQ97" i="2"/>
  <c r="BC102" i="2"/>
  <c r="BW102" i="2" s="1"/>
  <c r="CU101" i="2"/>
  <c r="BH107" i="2"/>
  <c r="CB107" i="2" s="1"/>
  <c r="CZ106" i="2"/>
  <c r="CL92" i="2"/>
  <c r="AT93" i="2"/>
  <c r="BN93" i="2" s="1"/>
  <c r="BB101" i="2"/>
  <c r="BV101" i="2" s="1"/>
  <c r="CT100" i="2"/>
  <c r="AZ99" i="2"/>
  <c r="BT99" i="2" s="1"/>
  <c r="CR98" i="2"/>
  <c r="AX97" i="2"/>
  <c r="BR97" i="2" s="1"/>
  <c r="CP96" i="2"/>
  <c r="BD103" i="2"/>
  <c r="BX103" i="2" s="1"/>
  <c r="CV102" i="2"/>
  <c r="BF105" i="2"/>
  <c r="BZ105" i="2" s="1"/>
  <c r="CX104" i="2"/>
  <c r="BE104" i="2"/>
  <c r="BY104" i="2" s="1"/>
  <c r="CW103" i="2"/>
  <c r="AW96" i="2"/>
  <c r="BQ96" i="2" s="1"/>
  <c r="CO95" i="2"/>
  <c r="DL88" i="2" l="1"/>
  <c r="DB89" i="2"/>
  <c r="DC89" i="2" s="1"/>
  <c r="CI90" i="2"/>
  <c r="CJ90" i="2"/>
  <c r="BI109" i="2"/>
  <c r="CC109" i="2" s="1"/>
  <c r="DA108" i="2"/>
  <c r="AV96" i="2"/>
  <c r="BP96" i="2" s="1"/>
  <c r="CN95" i="2"/>
  <c r="BH108" i="2"/>
  <c r="CB108" i="2" s="1"/>
  <c r="CZ107" i="2"/>
  <c r="AZ100" i="2"/>
  <c r="BT100" i="2" s="1"/>
  <c r="CR99" i="2"/>
  <c r="AY99" i="2"/>
  <c r="BS99" i="2" s="1"/>
  <c r="CQ98" i="2"/>
  <c r="BG107" i="2"/>
  <c r="CA107" i="2" s="1"/>
  <c r="CY106" i="2"/>
  <c r="AW97" i="2"/>
  <c r="BQ97" i="2" s="1"/>
  <c r="CO96" i="2"/>
  <c r="BE105" i="2"/>
  <c r="BY105" i="2" s="1"/>
  <c r="CW104" i="2"/>
  <c r="BF106" i="2"/>
  <c r="BZ106" i="2" s="1"/>
  <c r="CX105" i="2"/>
  <c r="AT94" i="2"/>
  <c r="BN94" i="2" s="1"/>
  <c r="CL93" i="2"/>
  <c r="AS93" i="2"/>
  <c r="BM93" i="2" s="1"/>
  <c r="AX98" i="2"/>
  <c r="BR98" i="2" s="1"/>
  <c r="CP97" i="2"/>
  <c r="BC103" i="2"/>
  <c r="BW103" i="2" s="1"/>
  <c r="CU102" i="2"/>
  <c r="BB102" i="2"/>
  <c r="BV102" i="2" s="1"/>
  <c r="CT101" i="2"/>
  <c r="BD104" i="2"/>
  <c r="BX104" i="2" s="1"/>
  <c r="CV103" i="2"/>
  <c r="AU95" i="2"/>
  <c r="BO95" i="2" s="1"/>
  <c r="CM94" i="2"/>
  <c r="BA101" i="2"/>
  <c r="BU101" i="2" s="1"/>
  <c r="CS100" i="2"/>
  <c r="DL89" i="2" l="1"/>
  <c r="DB90" i="2"/>
  <c r="DC90" i="2" s="1"/>
  <c r="CI91" i="2"/>
  <c r="CJ91" i="2"/>
  <c r="AZ101" i="2"/>
  <c r="BT101" i="2" s="1"/>
  <c r="CR100" i="2"/>
  <c r="BH109" i="2"/>
  <c r="CB109" i="2" s="1"/>
  <c r="CZ108" i="2"/>
  <c r="BE106" i="2"/>
  <c r="BY106" i="2" s="1"/>
  <c r="CW105" i="2"/>
  <c r="BA102" i="2"/>
  <c r="BU102" i="2" s="1"/>
  <c r="CS101" i="2"/>
  <c r="AU96" i="2"/>
  <c r="BO96" i="2" s="1"/>
  <c r="CM95" i="2"/>
  <c r="AW98" i="2"/>
  <c r="BQ98" i="2" s="1"/>
  <c r="CO97" i="2"/>
  <c r="BG108" i="2"/>
  <c r="CA108" i="2" s="1"/>
  <c r="CY107" i="2"/>
  <c r="AV97" i="2"/>
  <c r="BP97" i="2" s="1"/>
  <c r="CN96" i="2"/>
  <c r="BC104" i="2"/>
  <c r="BW104" i="2" s="1"/>
  <c r="CU103" i="2"/>
  <c r="AX99" i="2"/>
  <c r="BR99" i="2" s="1"/>
  <c r="CP98" i="2"/>
  <c r="AS94" i="2"/>
  <c r="BM94" i="2" s="1"/>
  <c r="CK93" i="2"/>
  <c r="BB103" i="2"/>
  <c r="BV103" i="2" s="1"/>
  <c r="CT102" i="2"/>
  <c r="BD105" i="2"/>
  <c r="BX105" i="2" s="1"/>
  <c r="CV104" i="2"/>
  <c r="AT95" i="2"/>
  <c r="BN95" i="2" s="1"/>
  <c r="BN96" i="2" s="1"/>
  <c r="CL94" i="2"/>
  <c r="BF107" i="2"/>
  <c r="BZ107" i="2" s="1"/>
  <c r="CX106" i="2"/>
  <c r="AY100" i="2"/>
  <c r="BS100" i="2" s="1"/>
  <c r="CQ99" i="2"/>
  <c r="BI110" i="2"/>
  <c r="CC110" i="2" s="1"/>
  <c r="DA109" i="2"/>
  <c r="DL90" i="2" l="1"/>
  <c r="DB91" i="2"/>
  <c r="DC91" i="2" s="1"/>
  <c r="CL96" i="2"/>
  <c r="CL95" i="2"/>
  <c r="CI93" i="2"/>
  <c r="CI92" i="2"/>
  <c r="CJ92" i="2"/>
  <c r="CJ93" i="2"/>
  <c r="BA103" i="2"/>
  <c r="BU103" i="2" s="1"/>
  <c r="CS102" i="2"/>
  <c r="AV98" i="2"/>
  <c r="BP98" i="2" s="1"/>
  <c r="CN97" i="2"/>
  <c r="BE107" i="2"/>
  <c r="BY107" i="2" s="1"/>
  <c r="CW106" i="2"/>
  <c r="BF108" i="2"/>
  <c r="BZ108" i="2" s="1"/>
  <c r="CX107" i="2"/>
  <c r="AY101" i="2"/>
  <c r="BS101" i="2" s="1"/>
  <c r="CQ100" i="2"/>
  <c r="BG109" i="2"/>
  <c r="CA109" i="2" s="1"/>
  <c r="CY108" i="2"/>
  <c r="AX100" i="2"/>
  <c r="BR100" i="2" s="1"/>
  <c r="CP99" i="2"/>
  <c r="AW99" i="2"/>
  <c r="BQ99" i="2" s="1"/>
  <c r="CO98" i="2"/>
  <c r="BH110" i="2"/>
  <c r="CB110" i="2" s="1"/>
  <c r="CZ109" i="2"/>
  <c r="BB104" i="2"/>
  <c r="BV104" i="2" s="1"/>
  <c r="CT103" i="2"/>
  <c r="CK94" i="2"/>
  <c r="AS95" i="2"/>
  <c r="AR94" i="2"/>
  <c r="BL94" i="2" s="1"/>
  <c r="BI111" i="2"/>
  <c r="CC111" i="2" s="1"/>
  <c r="DA110" i="2"/>
  <c r="BD106" i="2"/>
  <c r="BX106" i="2" s="1"/>
  <c r="CV105" i="2"/>
  <c r="BC105" i="2"/>
  <c r="BW105" i="2" s="1"/>
  <c r="CU104" i="2"/>
  <c r="AU97" i="2"/>
  <c r="BO97" i="2" s="1"/>
  <c r="CM96" i="2"/>
  <c r="AZ102" i="2"/>
  <c r="BT102" i="2" s="1"/>
  <c r="CR101" i="2"/>
  <c r="DL91" i="2" l="1"/>
  <c r="AS96" i="2"/>
  <c r="AS97" i="2" s="1"/>
  <c r="BM95" i="2"/>
  <c r="DB92" i="2"/>
  <c r="DC92" i="2" s="1"/>
  <c r="DB93" i="2"/>
  <c r="DC93" i="2" s="1"/>
  <c r="BF109" i="2"/>
  <c r="BZ109" i="2" s="1"/>
  <c r="CX108" i="2"/>
  <c r="AZ103" i="2"/>
  <c r="BT103" i="2" s="1"/>
  <c r="CR102" i="2"/>
  <c r="AR95" i="2"/>
  <c r="AR96" i="2" s="1"/>
  <c r="AR97" i="2" s="1"/>
  <c r="AQ94" i="2"/>
  <c r="BK94" i="2" s="1"/>
  <c r="CJ94" i="2"/>
  <c r="AX101" i="2"/>
  <c r="BR101" i="2" s="1"/>
  <c r="CP100" i="2"/>
  <c r="BG110" i="2"/>
  <c r="CA110" i="2" s="1"/>
  <c r="CY109" i="2"/>
  <c r="AW100" i="2"/>
  <c r="BQ100" i="2" s="1"/>
  <c r="CO99" i="2"/>
  <c r="BE108" i="2"/>
  <c r="BY108" i="2" s="1"/>
  <c r="CW107" i="2"/>
  <c r="BD107" i="2"/>
  <c r="BX107" i="2" s="1"/>
  <c r="CV106" i="2"/>
  <c r="BI112" i="2"/>
  <c r="CC112" i="2" s="1"/>
  <c r="DA111" i="2"/>
  <c r="CM97" i="2"/>
  <c r="AU98" i="2"/>
  <c r="BO98" i="2" s="1"/>
  <c r="AT97" i="2"/>
  <c r="BN97" i="2" s="1"/>
  <c r="BC106" i="2"/>
  <c r="BW106" i="2" s="1"/>
  <c r="CU105" i="2"/>
  <c r="BB105" i="2"/>
  <c r="BV105" i="2" s="1"/>
  <c r="CT104" i="2"/>
  <c r="AV99" i="2"/>
  <c r="BP99" i="2" s="1"/>
  <c r="CN98" i="2"/>
  <c r="BH111" i="2"/>
  <c r="CB111" i="2" s="1"/>
  <c r="CZ110" i="2"/>
  <c r="AY102" i="2"/>
  <c r="BS102" i="2" s="1"/>
  <c r="CQ101" i="2"/>
  <c r="BA104" i="2"/>
  <c r="BU104" i="2" s="1"/>
  <c r="CS103" i="2"/>
  <c r="BM96" i="2" l="1"/>
  <c r="DL93" i="2"/>
  <c r="DL92" i="2"/>
  <c r="BM97" i="2"/>
  <c r="BL95" i="2"/>
  <c r="BL96" i="2" s="1"/>
  <c r="BL97" i="2" s="1"/>
  <c r="CK95" i="2"/>
  <c r="AQ95" i="2"/>
  <c r="AQ96" i="2" s="1"/>
  <c r="AQ97" i="2" s="1"/>
  <c r="CI94" i="2"/>
  <c r="AT98" i="2"/>
  <c r="BN98" i="2" s="1"/>
  <c r="BN99" i="2" s="1"/>
  <c r="BN100" i="2" s="1"/>
  <c r="CL97" i="2"/>
  <c r="AW101" i="2"/>
  <c r="BQ101" i="2" s="1"/>
  <c r="CO100" i="2"/>
  <c r="BH112" i="2"/>
  <c r="CB112" i="2" s="1"/>
  <c r="CZ111" i="2"/>
  <c r="AZ104" i="2"/>
  <c r="BT104" i="2" s="1"/>
  <c r="CR103" i="2"/>
  <c r="BE109" i="2"/>
  <c r="BY109" i="2" s="1"/>
  <c r="CW108" i="2"/>
  <c r="AV100" i="2"/>
  <c r="BP100" i="2" s="1"/>
  <c r="CN99" i="2"/>
  <c r="BB106" i="2"/>
  <c r="BV106" i="2" s="1"/>
  <c r="CT105" i="2"/>
  <c r="BG111" i="2"/>
  <c r="CA111" i="2" s="1"/>
  <c r="CY110" i="2"/>
  <c r="AU99" i="2"/>
  <c r="BO99" i="2" s="1"/>
  <c r="CM98" i="2"/>
  <c r="BI113" i="2"/>
  <c r="CC113" i="2" s="1"/>
  <c r="DA112" i="2"/>
  <c r="BA105" i="2"/>
  <c r="BU105" i="2" s="1"/>
  <c r="CS104" i="2"/>
  <c r="AY103" i="2"/>
  <c r="BS103" i="2" s="1"/>
  <c r="CQ102" i="2"/>
  <c r="BC107" i="2"/>
  <c r="BW107" i="2" s="1"/>
  <c r="CU106" i="2"/>
  <c r="BD108" i="2"/>
  <c r="BX108" i="2" s="1"/>
  <c r="CV107" i="2"/>
  <c r="AX102" i="2"/>
  <c r="BR102" i="2" s="1"/>
  <c r="CP101" i="2"/>
  <c r="BF110" i="2"/>
  <c r="BZ110" i="2" s="1"/>
  <c r="CX109" i="2"/>
  <c r="DB94" i="2" l="1"/>
  <c r="DC94" i="2" s="1"/>
  <c r="BK95" i="2"/>
  <c r="BK96" i="2" s="1"/>
  <c r="BK97" i="2" s="1"/>
  <c r="CK97" i="2"/>
  <c r="CK96" i="2"/>
  <c r="CJ95" i="2"/>
  <c r="AW102" i="2"/>
  <c r="BQ102" i="2" s="1"/>
  <c r="CO101" i="2"/>
  <c r="BE110" i="2"/>
  <c r="BY110" i="2" s="1"/>
  <c r="CW109" i="2"/>
  <c r="AS98" i="2"/>
  <c r="BM98" i="2" s="1"/>
  <c r="BI114" i="2"/>
  <c r="CC114" i="2" s="1"/>
  <c r="DA113" i="2"/>
  <c r="BC108" i="2"/>
  <c r="BW108" i="2" s="1"/>
  <c r="CU107" i="2"/>
  <c r="AU100" i="2"/>
  <c r="BO100" i="2" s="1"/>
  <c r="CM99" i="2"/>
  <c r="BG112" i="2"/>
  <c r="CA112" i="2" s="1"/>
  <c r="CY111" i="2"/>
  <c r="AZ105" i="2"/>
  <c r="BT105" i="2" s="1"/>
  <c r="CR104" i="2"/>
  <c r="BD109" i="2"/>
  <c r="BX109" i="2" s="1"/>
  <c r="CV108" i="2"/>
  <c r="AV101" i="2"/>
  <c r="BP101" i="2" s="1"/>
  <c r="CN100" i="2"/>
  <c r="AY104" i="2"/>
  <c r="BS104" i="2" s="1"/>
  <c r="CQ103" i="2"/>
  <c r="BF111" i="2"/>
  <c r="BZ111" i="2" s="1"/>
  <c r="CX110" i="2"/>
  <c r="AX103" i="2"/>
  <c r="BR103" i="2" s="1"/>
  <c r="CP102" i="2"/>
  <c r="BA106" i="2"/>
  <c r="BU106" i="2" s="1"/>
  <c r="CS105" i="2"/>
  <c r="BB107" i="2"/>
  <c r="BV107" i="2" s="1"/>
  <c r="CT106" i="2"/>
  <c r="BH113" i="2"/>
  <c r="CB113" i="2" s="1"/>
  <c r="CZ112" i="2"/>
  <c r="DL94" i="2" l="1"/>
  <c r="CL98" i="2"/>
  <c r="CI95" i="2"/>
  <c r="CJ97" i="2"/>
  <c r="CJ96" i="2"/>
  <c r="BI115" i="2"/>
  <c r="CC115" i="2" s="1"/>
  <c r="DA114" i="2"/>
  <c r="AS99" i="2"/>
  <c r="AS100" i="2" s="1"/>
  <c r="AS101" i="2" s="1"/>
  <c r="AR98" i="2"/>
  <c r="BL98" i="2" s="1"/>
  <c r="AX104" i="2"/>
  <c r="BR104" i="2" s="1"/>
  <c r="CP103" i="2"/>
  <c r="BE111" i="2"/>
  <c r="BY111" i="2" s="1"/>
  <c r="CW110" i="2"/>
  <c r="AZ106" i="2"/>
  <c r="BT106" i="2" s="1"/>
  <c r="CR105" i="2"/>
  <c r="BG113" i="2"/>
  <c r="CA113" i="2" s="1"/>
  <c r="CY112" i="2"/>
  <c r="AV102" i="2"/>
  <c r="BP102" i="2" s="1"/>
  <c r="CN101" i="2"/>
  <c r="AU101" i="2"/>
  <c r="BO101" i="2" s="1"/>
  <c r="CM100" i="2"/>
  <c r="BD110" i="2"/>
  <c r="BX110" i="2" s="1"/>
  <c r="CV109" i="2"/>
  <c r="BB108" i="2"/>
  <c r="BV108" i="2" s="1"/>
  <c r="CT107" i="2"/>
  <c r="AY105" i="2"/>
  <c r="BS105" i="2" s="1"/>
  <c r="CQ104" i="2"/>
  <c r="BA107" i="2"/>
  <c r="BU107" i="2" s="1"/>
  <c r="CS106" i="2"/>
  <c r="BH114" i="2"/>
  <c r="CB114" i="2" s="1"/>
  <c r="CZ113" i="2"/>
  <c r="BF112" i="2"/>
  <c r="BZ112" i="2" s="1"/>
  <c r="CX111" i="2"/>
  <c r="BC109" i="2"/>
  <c r="BW109" i="2" s="1"/>
  <c r="CU108" i="2"/>
  <c r="AW103" i="2"/>
  <c r="BQ103" i="2" s="1"/>
  <c r="CO102" i="2"/>
  <c r="DB95" i="2" l="1"/>
  <c r="DC95" i="2" s="1"/>
  <c r="BM99" i="2"/>
  <c r="BM100" i="2" s="1"/>
  <c r="BM101" i="2" s="1"/>
  <c r="CK98" i="2"/>
  <c r="CL100" i="2"/>
  <c r="CL99" i="2"/>
  <c r="CI97" i="2"/>
  <c r="CI96" i="2"/>
  <c r="BA108" i="2"/>
  <c r="BU108" i="2" s="1"/>
  <c r="CS107" i="2"/>
  <c r="CM101" i="2"/>
  <c r="AT101" i="2"/>
  <c r="BN101" i="2" s="1"/>
  <c r="AU102" i="2"/>
  <c r="BO102" i="2" s="1"/>
  <c r="BE112" i="2"/>
  <c r="BY112" i="2" s="1"/>
  <c r="CW111" i="2"/>
  <c r="BF113" i="2"/>
  <c r="BZ113" i="2" s="1"/>
  <c r="CX112" i="2"/>
  <c r="BC110" i="2"/>
  <c r="BW110" i="2" s="1"/>
  <c r="CU109" i="2"/>
  <c r="AX105" i="2"/>
  <c r="BR105" i="2" s="1"/>
  <c r="CP104" i="2"/>
  <c r="AV103" i="2"/>
  <c r="BP103" i="2" s="1"/>
  <c r="CN102" i="2"/>
  <c r="BB109" i="2"/>
  <c r="BV109" i="2" s="1"/>
  <c r="CT108" i="2"/>
  <c r="AZ107" i="2"/>
  <c r="BT107" i="2" s="1"/>
  <c r="CR106" i="2"/>
  <c r="AY106" i="2"/>
  <c r="BS106" i="2" s="1"/>
  <c r="CQ105" i="2"/>
  <c r="AR99" i="2"/>
  <c r="AR100" i="2" s="1"/>
  <c r="AR101" i="2" s="1"/>
  <c r="CJ98" i="2"/>
  <c r="AQ98" i="2"/>
  <c r="BK98" i="2" s="1"/>
  <c r="BG114" i="2"/>
  <c r="CA114" i="2" s="1"/>
  <c r="CY113" i="2"/>
  <c r="BH115" i="2"/>
  <c r="CB115" i="2" s="1"/>
  <c r="CZ114" i="2"/>
  <c r="BD111" i="2"/>
  <c r="BX111" i="2" s="1"/>
  <c r="CV110" i="2"/>
  <c r="AW104" i="2"/>
  <c r="BQ104" i="2" s="1"/>
  <c r="CO103" i="2"/>
  <c r="BI116" i="2"/>
  <c r="CC116" i="2" s="1"/>
  <c r="DA115" i="2"/>
  <c r="DL95" i="2" l="1"/>
  <c r="CK101" i="2"/>
  <c r="CK99" i="2"/>
  <c r="CK100" i="2"/>
  <c r="DB96" i="2"/>
  <c r="DC96" i="2" s="1"/>
  <c r="BL99" i="2"/>
  <c r="BL100" i="2" s="1"/>
  <c r="BL101" i="2" s="1"/>
  <c r="DB97" i="2"/>
  <c r="DC97" i="2" s="1"/>
  <c r="BE113" i="2"/>
  <c r="BY113" i="2" s="1"/>
  <c r="CW112" i="2"/>
  <c r="AU103" i="2"/>
  <c r="BO103" i="2" s="1"/>
  <c r="CM102" i="2"/>
  <c r="AY107" i="2"/>
  <c r="BS107" i="2" s="1"/>
  <c r="CQ106" i="2"/>
  <c r="AT102" i="2"/>
  <c r="BN102" i="2" s="1"/>
  <c r="BN103" i="2" s="1"/>
  <c r="BN104" i="2" s="1"/>
  <c r="BN105" i="2" s="1"/>
  <c r="CL101" i="2"/>
  <c r="AV104" i="2"/>
  <c r="BP104" i="2" s="1"/>
  <c r="CN103" i="2"/>
  <c r="BH116" i="2"/>
  <c r="CB116" i="2" s="1"/>
  <c r="CZ115" i="2"/>
  <c r="AZ108" i="2"/>
  <c r="BT108" i="2" s="1"/>
  <c r="CR107" i="2"/>
  <c r="BG115" i="2"/>
  <c r="CA115" i="2" s="1"/>
  <c r="CY114" i="2"/>
  <c r="BC111" i="2"/>
  <c r="BW111" i="2" s="1"/>
  <c r="CU110" i="2"/>
  <c r="BF114" i="2"/>
  <c r="BZ114" i="2" s="1"/>
  <c r="CX113" i="2"/>
  <c r="AX106" i="2"/>
  <c r="BR106" i="2" s="1"/>
  <c r="CP105" i="2"/>
  <c r="AQ99" i="2"/>
  <c r="AQ100" i="2" s="1"/>
  <c r="AQ101" i="2" s="1"/>
  <c r="CI98" i="2"/>
  <c r="BD112" i="2"/>
  <c r="BX112" i="2" s="1"/>
  <c r="CV111" i="2"/>
  <c r="BI117" i="2"/>
  <c r="CC117" i="2" s="1"/>
  <c r="DA116" i="2"/>
  <c r="BB110" i="2"/>
  <c r="BV110" i="2" s="1"/>
  <c r="CT109" i="2"/>
  <c r="AW105" i="2"/>
  <c r="BQ105" i="2" s="1"/>
  <c r="CO104" i="2"/>
  <c r="BA109" i="2"/>
  <c r="BU109" i="2" s="1"/>
  <c r="CS108" i="2"/>
  <c r="DL96" i="2" l="1"/>
  <c r="DL97" i="2"/>
  <c r="BK99" i="2"/>
  <c r="BK100" i="2" s="1"/>
  <c r="BK101" i="2" s="1"/>
  <c r="DB98" i="2"/>
  <c r="DC98" i="2" s="1"/>
  <c r="CJ99" i="2"/>
  <c r="BG116" i="2"/>
  <c r="CA116" i="2" s="1"/>
  <c r="CY115" i="2"/>
  <c r="BB111" i="2"/>
  <c r="BV111" i="2" s="1"/>
  <c r="CT110" i="2"/>
  <c r="AZ109" i="2"/>
  <c r="BT109" i="2" s="1"/>
  <c r="CR108" i="2"/>
  <c r="BF115" i="2"/>
  <c r="BZ115" i="2" s="1"/>
  <c r="CX114" i="2"/>
  <c r="AU104" i="2"/>
  <c r="BO104" i="2" s="1"/>
  <c r="CM103" i="2"/>
  <c r="AY108" i="2"/>
  <c r="BS108" i="2" s="1"/>
  <c r="CQ107" i="2"/>
  <c r="BA110" i="2"/>
  <c r="BU110" i="2" s="1"/>
  <c r="CS109" i="2"/>
  <c r="BD113" i="2"/>
  <c r="BX113" i="2" s="1"/>
  <c r="CV112" i="2"/>
  <c r="AS102" i="2"/>
  <c r="BM102" i="2" s="1"/>
  <c r="DA117" i="2"/>
  <c r="AX107" i="2"/>
  <c r="BR107" i="2" s="1"/>
  <c r="CP106" i="2"/>
  <c r="BH117" i="2"/>
  <c r="CB117" i="2" s="1"/>
  <c r="CZ116" i="2"/>
  <c r="BC112" i="2"/>
  <c r="BW112" i="2" s="1"/>
  <c r="CU111" i="2"/>
  <c r="AV105" i="2"/>
  <c r="BP105" i="2" s="1"/>
  <c r="CN104" i="2"/>
  <c r="AW106" i="2"/>
  <c r="BQ106" i="2" s="1"/>
  <c r="CO105" i="2"/>
  <c r="BE114" i="2"/>
  <c r="BY114" i="2" s="1"/>
  <c r="CW113" i="2"/>
  <c r="DL98" i="2" l="1"/>
  <c r="CC118" i="2"/>
  <c r="CL102" i="2"/>
  <c r="CI99" i="2"/>
  <c r="CJ101" i="2"/>
  <c r="CJ100" i="2"/>
  <c r="BF116" i="2"/>
  <c r="BZ116" i="2" s="1"/>
  <c r="CX115" i="2"/>
  <c r="AZ110" i="2"/>
  <c r="BT110" i="2" s="1"/>
  <c r="CR109" i="2"/>
  <c r="AV106" i="2"/>
  <c r="BP106" i="2" s="1"/>
  <c r="CN105" i="2"/>
  <c r="AY109" i="2"/>
  <c r="BS109" i="2" s="1"/>
  <c r="CQ108" i="2"/>
  <c r="BB112" i="2"/>
  <c r="BV112" i="2" s="1"/>
  <c r="CT111" i="2"/>
  <c r="AX108" i="2"/>
  <c r="BR108" i="2" s="1"/>
  <c r="CP107" i="2"/>
  <c r="AS103" i="2"/>
  <c r="AS104" i="2" s="1"/>
  <c r="AS105" i="2" s="1"/>
  <c r="CK102" i="2"/>
  <c r="AR102" i="2"/>
  <c r="BL102" i="2" s="1"/>
  <c r="BC113" i="2"/>
  <c r="BW113" i="2" s="1"/>
  <c r="CU112" i="2"/>
  <c r="BE115" i="2"/>
  <c r="BY115" i="2" s="1"/>
  <c r="CW114" i="2"/>
  <c r="AW107" i="2"/>
  <c r="BQ107" i="2" s="1"/>
  <c r="CO106" i="2"/>
  <c r="BA111" i="2"/>
  <c r="BU111" i="2" s="1"/>
  <c r="CS110" i="2"/>
  <c r="CZ117" i="2"/>
  <c r="BD114" i="2"/>
  <c r="BX114" i="2" s="1"/>
  <c r="CV113" i="2"/>
  <c r="AU105" i="2"/>
  <c r="BO105" i="2" s="1"/>
  <c r="CM104" i="2"/>
  <c r="BG117" i="2"/>
  <c r="CA117" i="2" s="1"/>
  <c r="CY116" i="2"/>
  <c r="DB99" i="2" l="1"/>
  <c r="DC99" i="2" s="1"/>
  <c r="CB118" i="2"/>
  <c r="BM103" i="2"/>
  <c r="BM104" i="2" s="1"/>
  <c r="BM105" i="2" s="1"/>
  <c r="CL103" i="2"/>
  <c r="CI101" i="2"/>
  <c r="CI100" i="2"/>
  <c r="AY110" i="2"/>
  <c r="BS110" i="2" s="1"/>
  <c r="CQ109" i="2"/>
  <c r="BA112" i="2"/>
  <c r="BU112" i="2" s="1"/>
  <c r="CS111" i="2"/>
  <c r="BC114" i="2"/>
  <c r="BW114" i="2" s="1"/>
  <c r="CU113" i="2"/>
  <c r="AV107" i="2"/>
  <c r="BP107" i="2" s="1"/>
  <c r="CN106" i="2"/>
  <c r="CY117" i="2"/>
  <c r="BD115" i="2"/>
  <c r="BX115" i="2" s="1"/>
  <c r="CV114" i="2"/>
  <c r="AX109" i="2"/>
  <c r="BR109" i="2" s="1"/>
  <c r="CP108" i="2"/>
  <c r="AZ111" i="2"/>
  <c r="BT111" i="2" s="1"/>
  <c r="CR110" i="2"/>
  <c r="BE116" i="2"/>
  <c r="BY116" i="2" s="1"/>
  <c r="CW115" i="2"/>
  <c r="AR103" i="2"/>
  <c r="AR104" i="2" s="1"/>
  <c r="AR105" i="2" s="1"/>
  <c r="AR106" i="2" s="1"/>
  <c r="AQ102" i="2"/>
  <c r="BK102" i="2" s="1"/>
  <c r="AU106" i="2"/>
  <c r="BO106" i="2" s="1"/>
  <c r="CM105" i="2"/>
  <c r="AW108" i="2"/>
  <c r="BQ108" i="2" s="1"/>
  <c r="CO107" i="2"/>
  <c r="BB113" i="2"/>
  <c r="BV113" i="2" s="1"/>
  <c r="CT112" i="2"/>
  <c r="BF117" i="2"/>
  <c r="BZ117" i="2" s="1"/>
  <c r="CX116" i="2"/>
  <c r="DL99" i="2" l="1"/>
  <c r="DB101" i="2"/>
  <c r="DC101" i="2" s="1"/>
  <c r="CA118" i="2"/>
  <c r="DB100" i="2"/>
  <c r="DC100" i="2" s="1"/>
  <c r="BL103" i="2"/>
  <c r="BL104" i="2" s="1"/>
  <c r="BL105" i="2" s="1"/>
  <c r="BL106" i="2" s="1"/>
  <c r="CK103" i="2"/>
  <c r="CL105" i="2"/>
  <c r="CL104" i="2"/>
  <c r="CJ102" i="2"/>
  <c r="AV108" i="2"/>
  <c r="BP108" i="2" s="1"/>
  <c r="CN107" i="2"/>
  <c r="CM106" i="2"/>
  <c r="AU107" i="2"/>
  <c r="BO107" i="2" s="1"/>
  <c r="AT106" i="2"/>
  <c r="BN106" i="2" s="1"/>
  <c r="BC115" i="2"/>
  <c r="BW115" i="2" s="1"/>
  <c r="CU114" i="2"/>
  <c r="AZ112" i="2"/>
  <c r="BT112" i="2" s="1"/>
  <c r="CR111" i="2"/>
  <c r="CX117" i="2"/>
  <c r="BD116" i="2"/>
  <c r="BX116" i="2" s="1"/>
  <c r="CV115" i="2"/>
  <c r="AX110" i="2"/>
  <c r="BR110" i="2" s="1"/>
  <c r="CP109" i="2"/>
  <c r="BA113" i="2"/>
  <c r="BU113" i="2" s="1"/>
  <c r="CS112" i="2"/>
  <c r="AQ103" i="2"/>
  <c r="AQ104" i="2" s="1"/>
  <c r="AQ105" i="2" s="1"/>
  <c r="AQ106" i="2" s="1"/>
  <c r="CI102" i="2"/>
  <c r="BB114" i="2"/>
  <c r="BV114" i="2" s="1"/>
  <c r="CT113" i="2"/>
  <c r="BE117" i="2"/>
  <c r="BY117" i="2" s="1"/>
  <c r="CW116" i="2"/>
  <c r="AW109" i="2"/>
  <c r="BQ109" i="2" s="1"/>
  <c r="CO108" i="2"/>
  <c r="AY111" i="2"/>
  <c r="BS111" i="2" s="1"/>
  <c r="CQ110" i="2"/>
  <c r="DL101" i="2" l="1"/>
  <c r="DL100" i="2"/>
  <c r="BZ118" i="2"/>
  <c r="DB102" i="2"/>
  <c r="DC102" i="2" s="1"/>
  <c r="BK103" i="2"/>
  <c r="BK104" i="2" s="1"/>
  <c r="BK105" i="2" s="1"/>
  <c r="BK106" i="2" s="1"/>
  <c r="CK104" i="2"/>
  <c r="CK105" i="2"/>
  <c r="CJ103" i="2"/>
  <c r="AX111" i="2"/>
  <c r="BR111" i="2" s="1"/>
  <c r="CP110" i="2"/>
  <c r="BB115" i="2"/>
  <c r="BV115" i="2" s="1"/>
  <c r="CT114" i="2"/>
  <c r="AY112" i="2"/>
  <c r="BS112" i="2" s="1"/>
  <c r="CQ111" i="2"/>
  <c r="CW117" i="2"/>
  <c r="AZ113" i="2"/>
  <c r="BT113" i="2" s="1"/>
  <c r="CR112" i="2"/>
  <c r="BC116" i="2"/>
  <c r="BW116" i="2" s="1"/>
  <c r="CU115" i="2"/>
  <c r="CL106" i="2"/>
  <c r="AT107" i="2"/>
  <c r="BN107" i="2" s="1"/>
  <c r="AS106" i="2"/>
  <c r="BM106" i="2" s="1"/>
  <c r="BD117" i="2"/>
  <c r="BX117" i="2" s="1"/>
  <c r="CV116" i="2"/>
  <c r="AW110" i="2"/>
  <c r="BQ110" i="2" s="1"/>
  <c r="CO109" i="2"/>
  <c r="AU108" i="2"/>
  <c r="BO108" i="2" s="1"/>
  <c r="CM107" i="2"/>
  <c r="BA114" i="2"/>
  <c r="BU114" i="2" s="1"/>
  <c r="CS113" i="2"/>
  <c r="AV109" i="2"/>
  <c r="BP109" i="2" s="1"/>
  <c r="CN108" i="2"/>
  <c r="DL102" i="2" l="1"/>
  <c r="BY118" i="2"/>
  <c r="CI103" i="2"/>
  <c r="CJ104" i="2"/>
  <c r="AT108" i="2"/>
  <c r="BN108" i="2" s="1"/>
  <c r="BN109" i="2" s="1"/>
  <c r="CL107" i="2"/>
  <c r="AU109" i="2"/>
  <c r="BO109" i="2" s="1"/>
  <c r="CM108" i="2"/>
  <c r="BB116" i="2"/>
  <c r="BV116" i="2" s="1"/>
  <c r="CT115" i="2"/>
  <c r="AS107" i="2"/>
  <c r="BM107" i="2" s="1"/>
  <c r="CK106" i="2"/>
  <c r="AW111" i="2"/>
  <c r="BQ111" i="2" s="1"/>
  <c r="CO110" i="2"/>
  <c r="BA115" i="2"/>
  <c r="BU115" i="2" s="1"/>
  <c r="CS114" i="2"/>
  <c r="AY113" i="2"/>
  <c r="BS113" i="2" s="1"/>
  <c r="CQ112" i="2"/>
  <c r="BC117" i="2"/>
  <c r="BW117" i="2" s="1"/>
  <c r="CU116" i="2"/>
  <c r="AV110" i="2"/>
  <c r="BP110" i="2" s="1"/>
  <c r="CN109" i="2"/>
  <c r="AZ114" i="2"/>
  <c r="BT114" i="2" s="1"/>
  <c r="CR113" i="2"/>
  <c r="CV117" i="2"/>
  <c r="AX112" i="2"/>
  <c r="BR112" i="2" s="1"/>
  <c r="CP111" i="2"/>
  <c r="DB103" i="2" l="1"/>
  <c r="DC103" i="2" s="1"/>
  <c r="BX118" i="2"/>
  <c r="CL109" i="2"/>
  <c r="CL108" i="2"/>
  <c r="CI104" i="2"/>
  <c r="CJ105" i="2"/>
  <c r="CJ106" i="2"/>
  <c r="BB117" i="2"/>
  <c r="BV117" i="2" s="1"/>
  <c r="CT116" i="2"/>
  <c r="CK107" i="2"/>
  <c r="AS108" i="2"/>
  <c r="BM108" i="2" s="1"/>
  <c r="AR107" i="2"/>
  <c r="BL107" i="2" s="1"/>
  <c r="CU117" i="2"/>
  <c r="AU110" i="2"/>
  <c r="BO110" i="2" s="1"/>
  <c r="CM109" i="2"/>
  <c r="AZ115" i="2"/>
  <c r="BT115" i="2" s="1"/>
  <c r="CR114" i="2"/>
  <c r="BA116" i="2"/>
  <c r="BU116" i="2" s="1"/>
  <c r="CS115" i="2"/>
  <c r="AX113" i="2"/>
  <c r="BR113" i="2" s="1"/>
  <c r="CP112" i="2"/>
  <c r="AY114" i="2"/>
  <c r="BS114" i="2" s="1"/>
  <c r="CQ113" i="2"/>
  <c r="AV111" i="2"/>
  <c r="BP111" i="2" s="1"/>
  <c r="CN110" i="2"/>
  <c r="AW112" i="2"/>
  <c r="BQ112" i="2" s="1"/>
  <c r="CO111" i="2"/>
  <c r="DL103" i="2" l="1"/>
  <c r="BW118" i="2"/>
  <c r="DB104" i="2"/>
  <c r="DC104" i="2" s="1"/>
  <c r="CI106" i="2"/>
  <c r="CI105" i="2"/>
  <c r="CM110" i="2"/>
  <c r="AT110" i="2"/>
  <c r="BN110" i="2" s="1"/>
  <c r="AU111" i="2"/>
  <c r="BO111" i="2" s="1"/>
  <c r="AY115" i="2"/>
  <c r="BS115" i="2" s="1"/>
  <c r="CQ114" i="2"/>
  <c r="BA117" i="2"/>
  <c r="BU117" i="2" s="1"/>
  <c r="CS116" i="2"/>
  <c r="AX114" i="2"/>
  <c r="BR114" i="2" s="1"/>
  <c r="CP113" i="2"/>
  <c r="AW113" i="2"/>
  <c r="BQ113" i="2" s="1"/>
  <c r="CO112" i="2"/>
  <c r="AV112" i="2"/>
  <c r="BP112" i="2" s="1"/>
  <c r="CN111" i="2"/>
  <c r="AR108" i="2"/>
  <c r="CJ107" i="2"/>
  <c r="AQ107" i="2"/>
  <c r="BK107" i="2" s="1"/>
  <c r="AS109" i="2"/>
  <c r="AZ116" i="2"/>
  <c r="BT116" i="2" s="1"/>
  <c r="CR115" i="2"/>
  <c r="CT117" i="2"/>
  <c r="DL104" i="2" l="1"/>
  <c r="DB105" i="2"/>
  <c r="DC105" i="2" s="1"/>
  <c r="DB106" i="2"/>
  <c r="DC106" i="2" s="1"/>
  <c r="AS110" i="2"/>
  <c r="BM109" i="2"/>
  <c r="AR109" i="2"/>
  <c r="BL108" i="2"/>
  <c r="BV118" i="2"/>
  <c r="CK108" i="2"/>
  <c r="AQ108" i="2"/>
  <c r="AQ109" i="2" s="1"/>
  <c r="AY116" i="2"/>
  <c r="BS116" i="2" s="1"/>
  <c r="CQ115" i="2"/>
  <c r="AU112" i="2"/>
  <c r="BO112" i="2" s="1"/>
  <c r="CM111" i="2"/>
  <c r="AW114" i="2"/>
  <c r="BQ114" i="2" s="1"/>
  <c r="CO113" i="2"/>
  <c r="AT111" i="2"/>
  <c r="BN111" i="2" s="1"/>
  <c r="BN112" i="2" s="1"/>
  <c r="BN113" i="2" s="1"/>
  <c r="CL110" i="2"/>
  <c r="AX115" i="2"/>
  <c r="BR115" i="2" s="1"/>
  <c r="CP114" i="2"/>
  <c r="CS117" i="2"/>
  <c r="AV113" i="2"/>
  <c r="BP113" i="2" s="1"/>
  <c r="CN112" i="2"/>
  <c r="AZ117" i="2"/>
  <c r="BT117" i="2" s="1"/>
  <c r="CR116" i="2"/>
  <c r="DL106" i="2" l="1"/>
  <c r="DL105" i="2"/>
  <c r="AR110" i="2"/>
  <c r="AQ110" i="2" s="1"/>
  <c r="BM110" i="2"/>
  <c r="CK110" i="2" s="1"/>
  <c r="AS111" i="2"/>
  <c r="AS112" i="2" s="1"/>
  <c r="AS113" i="2" s="1"/>
  <c r="AS114" i="2" s="1"/>
  <c r="BL109" i="2"/>
  <c r="BL110" i="2" s="1"/>
  <c r="BU118" i="2"/>
  <c r="BK108" i="2"/>
  <c r="BK109" i="2" s="1"/>
  <c r="CL111" i="2"/>
  <c r="CK109" i="2"/>
  <c r="CI107" i="2"/>
  <c r="CJ108" i="2"/>
  <c r="AX116" i="2"/>
  <c r="BR116" i="2" s="1"/>
  <c r="CP115" i="2"/>
  <c r="AY117" i="2"/>
  <c r="BS117" i="2" s="1"/>
  <c r="CQ116" i="2"/>
  <c r="CR117" i="2"/>
  <c r="AU113" i="2"/>
  <c r="BO113" i="2" s="1"/>
  <c r="CM112" i="2"/>
  <c r="AV114" i="2"/>
  <c r="BP114" i="2" s="1"/>
  <c r="CN113" i="2"/>
  <c r="AW115" i="2"/>
  <c r="BQ115" i="2" s="1"/>
  <c r="CO114" i="2"/>
  <c r="AR111" i="2" l="1"/>
  <c r="AR112" i="2" s="1"/>
  <c r="AR113" i="2" s="1"/>
  <c r="AR114" i="2" s="1"/>
  <c r="BK110" i="2"/>
  <c r="BM111" i="2"/>
  <c r="BM112" i="2" s="1"/>
  <c r="BM113" i="2" s="1"/>
  <c r="BM114" i="2" s="1"/>
  <c r="BT118" i="2"/>
  <c r="DB107" i="2"/>
  <c r="DC107" i="2" s="1"/>
  <c r="BL111" i="2"/>
  <c r="BL112" i="2" s="1"/>
  <c r="CI108" i="2"/>
  <c r="CL113" i="2"/>
  <c r="CL112" i="2"/>
  <c r="CI110" i="2"/>
  <c r="CI109" i="2"/>
  <c r="CJ110" i="2"/>
  <c r="CJ109" i="2"/>
  <c r="CQ117" i="2"/>
  <c r="AW116" i="2"/>
  <c r="BQ116" i="2" s="1"/>
  <c r="CO115" i="2"/>
  <c r="AV115" i="2"/>
  <c r="BP115" i="2" s="1"/>
  <c r="CN114" i="2"/>
  <c r="AQ111" i="2"/>
  <c r="AQ112" i="2" s="1"/>
  <c r="AQ113" i="2" s="1"/>
  <c r="AQ114" i="2" s="1"/>
  <c r="AU114" i="2"/>
  <c r="BO114" i="2" s="1"/>
  <c r="CM113" i="2"/>
  <c r="AX117" i="2"/>
  <c r="BR117" i="2" s="1"/>
  <c r="CP116" i="2"/>
  <c r="DL107" i="2" l="1"/>
  <c r="BL113" i="2"/>
  <c r="BL114" i="2" s="1"/>
  <c r="CK111" i="2"/>
  <c r="DB108" i="2"/>
  <c r="DC108" i="2" s="1"/>
  <c r="BS118" i="2"/>
  <c r="DB110" i="2"/>
  <c r="DC110" i="2" s="1"/>
  <c r="DB109" i="2"/>
  <c r="DC109" i="2" s="1"/>
  <c r="BK111" i="2"/>
  <c r="BK112" i="2" s="1"/>
  <c r="BK113" i="2" s="1"/>
  <c r="BK114" i="2" s="1"/>
  <c r="CK112" i="2"/>
  <c r="CJ111" i="2"/>
  <c r="CP117" i="2"/>
  <c r="CM114" i="2"/>
  <c r="AT114" i="2"/>
  <c r="BN114" i="2" s="1"/>
  <c r="AU115" i="2"/>
  <c r="BO115" i="2" s="1"/>
  <c r="AW117" i="2"/>
  <c r="BQ117" i="2" s="1"/>
  <c r="CO116" i="2"/>
  <c r="AV116" i="2"/>
  <c r="BP116" i="2" s="1"/>
  <c r="CN115" i="2"/>
  <c r="DL110" i="2" l="1"/>
  <c r="DL108" i="2"/>
  <c r="DL109" i="2"/>
  <c r="CI111" i="2"/>
  <c r="BR118" i="2"/>
  <c r="CK114" i="2"/>
  <c r="CK113" i="2"/>
  <c r="CI112" i="2"/>
  <c r="CJ112" i="2"/>
  <c r="CO117" i="2"/>
  <c r="AT115" i="2"/>
  <c r="BN115" i="2" s="1"/>
  <c r="BN116" i="2" s="1"/>
  <c r="BN117" i="2" s="1"/>
  <c r="BN118" i="2" s="1"/>
  <c r="CL114" i="2"/>
  <c r="AU116" i="2"/>
  <c r="BO116" i="2" s="1"/>
  <c r="CM115" i="2"/>
  <c r="AV117" i="2"/>
  <c r="BP117" i="2" s="1"/>
  <c r="CN116" i="2"/>
  <c r="DB111" i="2" l="1"/>
  <c r="DC111" i="2" s="1"/>
  <c r="BQ118" i="2"/>
  <c r="DB112" i="2"/>
  <c r="DC112" i="2" s="1"/>
  <c r="CI114" i="2"/>
  <c r="CI113" i="2"/>
  <c r="CJ114" i="2"/>
  <c r="CJ113" i="2"/>
  <c r="CN117" i="2"/>
  <c r="AS115" i="2"/>
  <c r="BM115" i="2" s="1"/>
  <c r="AU117" i="2"/>
  <c r="BO117" i="2" s="1"/>
  <c r="CM116" i="2"/>
  <c r="DL111" i="2" l="1"/>
  <c r="DL112" i="2"/>
  <c r="DB113" i="2"/>
  <c r="DC113" i="2" s="1"/>
  <c r="DB114" i="2"/>
  <c r="DC114" i="2" s="1"/>
  <c r="BP118" i="2"/>
  <c r="CL115" i="2"/>
  <c r="AU118" i="2"/>
  <c r="CM117" i="2"/>
  <c r="AS116" i="2"/>
  <c r="AS117" i="2" s="1"/>
  <c r="AR115" i="2"/>
  <c r="BL115" i="2" s="1"/>
  <c r="CK115" i="2"/>
  <c r="DL113" i="2" l="1"/>
  <c r="DL114" i="2"/>
  <c r="AS118" i="2"/>
  <c r="AS119" i="2" s="1"/>
  <c r="AS120" i="2" s="1"/>
  <c r="BM116" i="2"/>
  <c r="BM117" i="2" s="1"/>
  <c r="BO118" i="2"/>
  <c r="CL116" i="2"/>
  <c r="AR116" i="2"/>
  <c r="AR117" i="2" s="1"/>
  <c r="AR118" i="2" s="1"/>
  <c r="AR119" i="2" s="1"/>
  <c r="AQ115" i="2"/>
  <c r="BK115" i="2" s="1"/>
  <c r="AR120" i="2" l="1"/>
  <c r="AR121" i="2" s="1"/>
  <c r="AR122" i="2" s="1"/>
  <c r="AR123" i="2" s="1"/>
  <c r="AR124" i="2" s="1"/>
  <c r="AR125" i="2" s="1"/>
  <c r="AR126" i="2" s="1"/>
  <c r="AR127" i="2" s="1"/>
  <c r="AR128" i="2" s="1"/>
  <c r="BM118" i="2"/>
  <c r="BL116" i="2"/>
  <c r="BL117" i="2" s="1"/>
  <c r="BL118" i="2" s="1"/>
  <c r="CK116" i="2"/>
  <c r="CL117" i="2"/>
  <c r="CJ115" i="2"/>
  <c r="AQ116" i="2"/>
  <c r="AQ117" i="2" s="1"/>
  <c r="AQ118" i="2" s="1"/>
  <c r="AQ119" i="2" s="1"/>
  <c r="AQ120" i="2" s="1"/>
  <c r="AQ121" i="2" s="1"/>
  <c r="AQ122" i="2" s="1"/>
  <c r="AQ123" i="2" s="1"/>
  <c r="AQ124" i="2" l="1"/>
  <c r="AQ125" i="2" s="1"/>
  <c r="AQ126" i="2" s="1"/>
  <c r="AQ127" i="2" s="1"/>
  <c r="AQ128" i="2" s="1"/>
  <c r="BK116" i="2"/>
  <c r="BK117" i="2" s="1"/>
  <c r="BK118" i="2" s="1"/>
  <c r="CK117" i="2"/>
  <c r="CI115" i="2"/>
  <c r="CJ116" i="2"/>
  <c r="DB115" i="2" l="1"/>
  <c r="DC115" i="2" s="1"/>
  <c r="CI116" i="2"/>
  <c r="CJ117" i="2"/>
  <c r="DL115" i="2" l="1"/>
  <c r="DB116" i="2"/>
  <c r="DC116" i="2" s="1"/>
  <c r="CI117" i="2"/>
  <c r="DL116" i="2" l="1"/>
  <c r="DB117" i="2"/>
  <c r="DC117" i="2" s="1"/>
  <c r="DC118" i="2"/>
  <c r="DL117" i="2" l="1"/>
  <c r="DL118" i="2"/>
</calcChain>
</file>

<file path=xl/sharedStrings.xml><?xml version="1.0" encoding="utf-8"?>
<sst xmlns="http://schemas.openxmlformats.org/spreadsheetml/2006/main" count="1156" uniqueCount="252">
  <si>
    <t>filename</t>
  </si>
  <si>
    <t>#</t>
  </si>
  <si>
    <t>Menu Name</t>
  </si>
  <si>
    <t>CSV Proposal 2</t>
  </si>
  <si>
    <t>Start</t>
  </si>
  <si>
    <t>End</t>
  </si>
  <si>
    <t>Dummy Row</t>
  </si>
  <si>
    <t>No</t>
  </si>
  <si>
    <t>Blank</t>
  </si>
  <si>
    <t>LinkCode</t>
  </si>
  <si>
    <t>Level</t>
  </si>
  <si>
    <t xml:space="preserve">INPUT: Actual Data </t>
  </si>
  <si>
    <t>INPUT: Menu &amp; php files</t>
  </si>
  <si>
    <t xml:space="preserve">Start </t>
  </si>
  <si>
    <t>Dashboard</t>
  </si>
  <si>
    <t>Thing to do</t>
  </si>
  <si>
    <t>Notification</t>
  </si>
  <si>
    <t>Need Approval</t>
  </si>
  <si>
    <t>This month Approval</t>
  </si>
  <si>
    <t>List of items</t>
  </si>
  <si>
    <t>Item to dispose</t>
  </si>
  <si>
    <t>Item to return</t>
  </si>
  <si>
    <t>Item to transfer</t>
  </si>
  <si>
    <t>Inside building</t>
  </si>
  <si>
    <t>Outside building</t>
  </si>
  <si>
    <t>To another department</t>
  </si>
  <si>
    <t>To main store</t>
  </si>
  <si>
    <t>Return to vendor</t>
  </si>
  <si>
    <t>Return to manufacturer</t>
  </si>
  <si>
    <t>Return to sender</t>
  </si>
  <si>
    <t>Waiting approval</t>
  </si>
  <si>
    <t>Waiting disposal date</t>
  </si>
  <si>
    <t>Requests</t>
  </si>
  <si>
    <t>Check</t>
  </si>
  <si>
    <t>If exist then = 1</t>
  </si>
  <si>
    <t>Request pertama</t>
  </si>
  <si>
    <t>Request kedua</t>
  </si>
  <si>
    <t>Request utama</t>
  </si>
  <si>
    <t>Request utama 1</t>
  </si>
  <si>
    <t>Request utama 2</t>
  </si>
  <si>
    <t>Request Pejabat</t>
  </si>
  <si>
    <t>Request Jabatan</t>
  </si>
  <si>
    <t>Request Jabatan1</t>
  </si>
  <si>
    <t>Request Jabatan2</t>
  </si>
  <si>
    <t>Request Jabatan 2 lama</t>
  </si>
  <si>
    <t>Request lama sangat</t>
  </si>
  <si>
    <t>Request lama sangat 1</t>
  </si>
  <si>
    <t>Request lama sangat 2</t>
  </si>
  <si>
    <t>Request lama sangat 3</t>
  </si>
  <si>
    <t>Request lam tapi batal</t>
  </si>
  <si>
    <t>Request lam tapi batal 2</t>
  </si>
  <si>
    <t>Request batal A</t>
  </si>
  <si>
    <t>Request batal B</t>
  </si>
  <si>
    <t>Request batal C</t>
  </si>
  <si>
    <t>Request lam tapi batal 3</t>
  </si>
  <si>
    <t>Request lam tapi batal 4</t>
  </si>
  <si>
    <t>Request lama sangat 4</t>
  </si>
  <si>
    <t>Request lama sangat 5</t>
  </si>
  <si>
    <t>Request tak lama sangat</t>
  </si>
  <si>
    <t>Request lama giler</t>
  </si>
  <si>
    <t>Request lama giler batal</t>
  </si>
  <si>
    <t>Request lama giler tak batal</t>
  </si>
  <si>
    <t>Request lama giler B</t>
  </si>
  <si>
    <t>Request lama giler C</t>
  </si>
  <si>
    <t>Request Jabatan 2 baru</t>
  </si>
  <si>
    <t>Request Jabatan 2 sangat baru</t>
  </si>
  <si>
    <t>Request Jabatan 2 terkini</t>
  </si>
  <si>
    <t>Request Jabatan 2 terkini A</t>
  </si>
  <si>
    <t>Request Jabatan 2 terkini B</t>
  </si>
  <si>
    <t>Request Jabatan3</t>
  </si>
  <si>
    <t>Request Jabatan4</t>
  </si>
  <si>
    <t>Request Bangunan</t>
  </si>
  <si>
    <t>Request utama 3</t>
  </si>
  <si>
    <t>Request utama 3A</t>
  </si>
  <si>
    <t>Request utama 3B</t>
  </si>
  <si>
    <t>Request utama 3C</t>
  </si>
  <si>
    <t>Request utama 3D</t>
  </si>
  <si>
    <t>Request utama 3B Kiri</t>
  </si>
  <si>
    <t>Request utama 3B Kanan</t>
  </si>
  <si>
    <t>Request bukan utama</t>
  </si>
  <si>
    <t>Request utama batal</t>
  </si>
  <si>
    <t>Request bukan tak batal</t>
  </si>
  <si>
    <t>Request bukan sedang batal</t>
  </si>
  <si>
    <t>Request bukan batal tak jadi</t>
  </si>
  <si>
    <t>Request Ketua</t>
  </si>
  <si>
    <t>Request ketiga</t>
  </si>
  <si>
    <t>Request keempat</t>
  </si>
  <si>
    <t>Request keempat A</t>
  </si>
  <si>
    <t>Request keempat B</t>
  </si>
  <si>
    <t>Request kelima</t>
  </si>
  <si>
    <t>Request kelima A</t>
  </si>
  <si>
    <t>Request kelima B</t>
  </si>
  <si>
    <t>Request kelima C</t>
  </si>
  <si>
    <t>Request keenam</t>
  </si>
  <si>
    <t>Registration</t>
  </si>
  <si>
    <t>Register Ahli</t>
  </si>
  <si>
    <t>Register Ahli biasa</t>
  </si>
  <si>
    <t>Register Ahli kehormat</t>
  </si>
  <si>
    <t>Register Pengurusan</t>
  </si>
  <si>
    <t>Register Pengurusan tertinggi</t>
  </si>
  <si>
    <t>Register Pengurusan tengah</t>
  </si>
  <si>
    <t>Register Pengurusan biasa</t>
  </si>
  <si>
    <t>Register tetamu</t>
  </si>
  <si>
    <t>Register tetamu local</t>
  </si>
  <si>
    <t>Register tetamu Asia</t>
  </si>
  <si>
    <t>Register tetamu Eropah</t>
  </si>
  <si>
    <t>Register tetamu Amarekaa</t>
  </si>
  <si>
    <t>Administration</t>
  </si>
  <si>
    <t>Daftar user</t>
  </si>
  <si>
    <t>Edit user</t>
  </si>
  <si>
    <t>Delete user</t>
  </si>
  <si>
    <t>Daftar user baru</t>
  </si>
  <si>
    <t>Daftar super user baru</t>
  </si>
  <si>
    <t>Edit super user</t>
  </si>
  <si>
    <t>Edit tamu baru</t>
  </si>
  <si>
    <t xml:space="preserve">Delete user </t>
  </si>
  <si>
    <t>Delete super user</t>
  </si>
  <si>
    <t>Delete tetamu</t>
  </si>
  <si>
    <t>Delete aku</t>
  </si>
  <si>
    <t>L</t>
  </si>
  <si>
    <t>file1</t>
  </si>
  <si>
    <t>file2</t>
  </si>
  <si>
    <t>file3</t>
  </si>
  <si>
    <t>file4</t>
  </si>
  <si>
    <t>file5</t>
  </si>
  <si>
    <t>file6</t>
  </si>
  <si>
    <t>file7</t>
  </si>
  <si>
    <t>file8</t>
  </si>
  <si>
    <t>file9</t>
  </si>
  <si>
    <t>file10</t>
  </si>
  <si>
    <t>file11</t>
  </si>
  <si>
    <t>file12</t>
  </si>
  <si>
    <t>file13</t>
  </si>
  <si>
    <t>file14</t>
  </si>
  <si>
    <t>file15</t>
  </si>
  <si>
    <t>file16</t>
  </si>
  <si>
    <t>file17</t>
  </si>
  <si>
    <t>file18</t>
  </si>
  <si>
    <t>file19</t>
  </si>
  <si>
    <t>file20</t>
  </si>
  <si>
    <t>file21</t>
  </si>
  <si>
    <t>file22</t>
  </si>
  <si>
    <t>file23</t>
  </si>
  <si>
    <t>file24</t>
  </si>
  <si>
    <t>file25</t>
  </si>
  <si>
    <t>file26</t>
  </si>
  <si>
    <t>file27</t>
  </si>
  <si>
    <t>file28</t>
  </si>
  <si>
    <t>file29</t>
  </si>
  <si>
    <t>file30</t>
  </si>
  <si>
    <t>file31</t>
  </si>
  <si>
    <t>file32</t>
  </si>
  <si>
    <t>file33</t>
  </si>
  <si>
    <t>file34</t>
  </si>
  <si>
    <t>file35</t>
  </si>
  <si>
    <t>file36</t>
  </si>
  <si>
    <t>file37</t>
  </si>
  <si>
    <t>file38</t>
  </si>
  <si>
    <t>file39</t>
  </si>
  <si>
    <t>file40</t>
  </si>
  <si>
    <t>file41</t>
  </si>
  <si>
    <t>file42</t>
  </si>
  <si>
    <t>file43</t>
  </si>
  <si>
    <t>file44</t>
  </si>
  <si>
    <t>file45</t>
  </si>
  <si>
    <t>file46</t>
  </si>
  <si>
    <t>file47</t>
  </si>
  <si>
    <t>file48</t>
  </si>
  <si>
    <t>file49</t>
  </si>
  <si>
    <t>file50</t>
  </si>
  <si>
    <t>file51</t>
  </si>
  <si>
    <t>file52</t>
  </si>
  <si>
    <t>file53</t>
  </si>
  <si>
    <t>file54</t>
  </si>
  <si>
    <t>file55</t>
  </si>
  <si>
    <t>file56</t>
  </si>
  <si>
    <t>file57</t>
  </si>
  <si>
    <t>file58</t>
  </si>
  <si>
    <t>file59</t>
  </si>
  <si>
    <t>file60</t>
  </si>
  <si>
    <t>file61</t>
  </si>
  <si>
    <t>file62</t>
  </si>
  <si>
    <t>file63</t>
  </si>
  <si>
    <t>file64</t>
  </si>
  <si>
    <t>file65</t>
  </si>
  <si>
    <t>file66</t>
  </si>
  <si>
    <t>file67</t>
  </si>
  <si>
    <t>file68</t>
  </si>
  <si>
    <t>file69</t>
  </si>
  <si>
    <t>file70</t>
  </si>
  <si>
    <t>file71</t>
  </si>
  <si>
    <t>file72</t>
  </si>
  <si>
    <t>file73</t>
  </si>
  <si>
    <t>file74</t>
  </si>
  <si>
    <t>file75</t>
  </si>
  <si>
    <t>file76</t>
  </si>
  <si>
    <t>file77</t>
  </si>
  <si>
    <t>file78</t>
  </si>
  <si>
    <t>file79</t>
  </si>
  <si>
    <t>file80</t>
  </si>
  <si>
    <t>file81</t>
  </si>
  <si>
    <t>file83</t>
  </si>
  <si>
    <t>file84</t>
  </si>
  <si>
    <t>file86</t>
  </si>
  <si>
    <t>file87</t>
  </si>
  <si>
    <t>file88</t>
  </si>
  <si>
    <t>file90</t>
  </si>
  <si>
    <t>file91</t>
  </si>
  <si>
    <t>file92</t>
  </si>
  <si>
    <t>file93</t>
  </si>
  <si>
    <t>file94</t>
  </si>
  <si>
    <t>file95</t>
  </si>
  <si>
    <t>file96</t>
  </si>
  <si>
    <t>file97</t>
  </si>
  <si>
    <t>file98</t>
  </si>
  <si>
    <t>file99</t>
  </si>
  <si>
    <t>file100</t>
  </si>
  <si>
    <t>file101</t>
  </si>
  <si>
    <t>file102</t>
  </si>
  <si>
    <t>file103</t>
  </si>
  <si>
    <t>file104</t>
  </si>
  <si>
    <t>file105</t>
  </si>
  <si>
    <t>file106</t>
  </si>
  <si>
    <t>Blk1</t>
  </si>
  <si>
    <t>Blk2</t>
  </si>
  <si>
    <t>Blk3</t>
  </si>
  <si>
    <t>Blk4</t>
  </si>
  <si>
    <t>Blk5</t>
  </si>
  <si>
    <t>Blk6</t>
  </si>
  <si>
    <t>subpages/formv1/formv1.php</t>
  </si>
  <si>
    <t>subpages/formv1/formNo1.dat</t>
  </si>
  <si>
    <t>subpages/formv1/formNo2.dat</t>
  </si>
  <si>
    <t>subpages/formv1/formv1jabatan.dat</t>
  </si>
  <si>
    <t>Profile</t>
  </si>
  <si>
    <t>Personal</t>
  </si>
  <si>
    <t>Account &amp; Security</t>
  </si>
  <si>
    <t>Privacy</t>
  </si>
  <si>
    <t>Account</t>
  </si>
  <si>
    <t>Password</t>
  </si>
  <si>
    <t>Two-Factor Authentication</t>
  </si>
  <si>
    <t>Active Sessions</t>
  </si>
  <si>
    <t>Login History</t>
  </si>
  <si>
    <t>file107</t>
  </si>
  <si>
    <t>file109</t>
  </si>
  <si>
    <t>file110</t>
  </si>
  <si>
    <t>file111</t>
  </si>
  <si>
    <t>file112</t>
  </si>
  <si>
    <t>file113</t>
  </si>
  <si>
    <t>file114</t>
  </si>
  <si>
    <t>file115</t>
  </si>
  <si>
    <t>file116</t>
  </si>
  <si>
    <t>subpages/profile/personal/personal.php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</si>
</sst>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5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E82A-C4E5-4D71-9206-9534853B9196}">
  <dimension ref="B11:DL128"/>
  <sheetViews>
    <sheetView tabSelected="1" topLeftCell="DF8" workbookViewId="0">
      <selection activeCell="DL128" sqref="DL13:DL128"/>
    </sheetView>
  </sheetViews>
  <sheetFormatPr defaultRowHeight="15" x14ac:dyDescent="0.25"/>
  <cols>
    <col min="3" max="31" width="3.140625" customWidth="1"/>
    <col min="32" max="41" width="2.7109375" customWidth="1"/>
    <col min="42" max="42" width="6.28515625" style="2" customWidth="1"/>
    <col min="43" max="61" width="2.7109375" customWidth="1"/>
    <col min="62" max="62" width="3.42578125" style="2" customWidth="1"/>
    <col min="63" max="81" width="2.7109375" customWidth="1"/>
    <col min="82" max="82" width="2.7109375" style="2" customWidth="1"/>
    <col min="83" max="83" width="4" bestFit="1" customWidth="1"/>
    <col min="84" max="105" width="3.140625" customWidth="1"/>
    <col min="106" max="106" width="3" bestFit="1" customWidth="1"/>
    <col min="107" max="107" width="42.140625" bestFit="1" customWidth="1"/>
    <col min="108" max="108" width="28" bestFit="1" customWidth="1"/>
    <col min="109" max="109" width="28.140625" bestFit="1" customWidth="1"/>
    <col min="110" max="110" width="34.42578125" bestFit="1" customWidth="1"/>
    <col min="111" max="115" width="7" customWidth="1"/>
    <col min="116" max="116" width="198.7109375" bestFit="1" customWidth="1"/>
  </cols>
  <sheetData>
    <row r="11" spans="2:116" x14ac:dyDescent="0.25">
      <c r="W11" s="3" t="s">
        <v>34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5"/>
      <c r="AP11" s="2" t="s">
        <v>33</v>
      </c>
    </row>
    <row r="12" spans="2:116" x14ac:dyDescent="0.25">
      <c r="B12" t="s">
        <v>7</v>
      </c>
      <c r="C12">
        <v>0</v>
      </c>
      <c r="D12">
        <f t="shared" ref="D12:P12" si="0">C12+1</f>
        <v>1</v>
      </c>
      <c r="E12">
        <f t="shared" si="0"/>
        <v>2</v>
      </c>
      <c r="F12">
        <f t="shared" si="0"/>
        <v>3</v>
      </c>
      <c r="G12">
        <f t="shared" si="0"/>
        <v>4</v>
      </c>
      <c r="H12">
        <f t="shared" si="0"/>
        <v>5</v>
      </c>
      <c r="I12">
        <f t="shared" si="0"/>
        <v>6</v>
      </c>
      <c r="J12">
        <f t="shared" si="0"/>
        <v>7</v>
      </c>
      <c r="K12">
        <f t="shared" si="0"/>
        <v>8</v>
      </c>
      <c r="L12">
        <f t="shared" si="0"/>
        <v>9</v>
      </c>
      <c r="M12">
        <f>L12+1</f>
        <v>10</v>
      </c>
      <c r="N12">
        <f t="shared" si="0"/>
        <v>11</v>
      </c>
      <c r="O12">
        <f t="shared" si="0"/>
        <v>12</v>
      </c>
      <c r="P12">
        <f t="shared" si="0"/>
        <v>13</v>
      </c>
      <c r="Q12">
        <f>P12+1</f>
        <v>14</v>
      </c>
      <c r="R12">
        <f t="shared" ref="R12:U12" si="1">Q12+1</f>
        <v>15</v>
      </c>
      <c r="S12">
        <f t="shared" si="1"/>
        <v>16</v>
      </c>
      <c r="T12">
        <f t="shared" si="1"/>
        <v>17</v>
      </c>
      <c r="U12">
        <f t="shared" si="1"/>
        <v>18</v>
      </c>
      <c r="W12">
        <v>0</v>
      </c>
      <c r="X12">
        <f>W12+1</f>
        <v>1</v>
      </c>
      <c r="Y12">
        <f t="shared" ref="Y12:AO12" si="2">X12+1</f>
        <v>2</v>
      </c>
      <c r="Z12">
        <f t="shared" si="2"/>
        <v>3</v>
      </c>
      <c r="AA12">
        <f t="shared" si="2"/>
        <v>4</v>
      </c>
      <c r="AB12">
        <f t="shared" si="2"/>
        <v>5</v>
      </c>
      <c r="AC12">
        <f t="shared" si="2"/>
        <v>6</v>
      </c>
      <c r="AD12">
        <f t="shared" si="2"/>
        <v>7</v>
      </c>
      <c r="AE12">
        <f t="shared" si="2"/>
        <v>8</v>
      </c>
      <c r="AF12">
        <f t="shared" si="2"/>
        <v>9</v>
      </c>
      <c r="AG12">
        <f t="shared" si="2"/>
        <v>10</v>
      </c>
      <c r="AH12">
        <f t="shared" si="2"/>
        <v>11</v>
      </c>
      <c r="AI12">
        <f t="shared" si="2"/>
        <v>12</v>
      </c>
      <c r="AJ12">
        <f t="shared" si="2"/>
        <v>13</v>
      </c>
      <c r="AK12">
        <f t="shared" si="2"/>
        <v>14</v>
      </c>
      <c r="AL12">
        <f t="shared" si="2"/>
        <v>15</v>
      </c>
      <c r="AM12">
        <f t="shared" si="2"/>
        <v>16</v>
      </c>
      <c r="AN12">
        <f t="shared" si="2"/>
        <v>17</v>
      </c>
      <c r="AO12">
        <f t="shared" si="2"/>
        <v>18</v>
      </c>
      <c r="AP12" s="2" t="str">
        <f>IF(COUNTIF(AP13:AP118, "Error") &gt; 0, "Error", "OK")</f>
        <v>OK</v>
      </c>
      <c r="AQ12">
        <v>0</v>
      </c>
      <c r="AR12">
        <f>AQ12+1</f>
        <v>1</v>
      </c>
      <c r="AS12">
        <f t="shared" ref="AS12:BI12" si="3">AR12+1</f>
        <v>2</v>
      </c>
      <c r="AT12">
        <f t="shared" si="3"/>
        <v>3</v>
      </c>
      <c r="AU12">
        <f t="shared" si="3"/>
        <v>4</v>
      </c>
      <c r="AV12">
        <f t="shared" si="3"/>
        <v>5</v>
      </c>
      <c r="AW12">
        <f t="shared" si="3"/>
        <v>6</v>
      </c>
      <c r="AX12">
        <f t="shared" si="3"/>
        <v>7</v>
      </c>
      <c r="AY12">
        <f t="shared" si="3"/>
        <v>8</v>
      </c>
      <c r="AZ12">
        <f t="shared" si="3"/>
        <v>9</v>
      </c>
      <c r="BA12">
        <f t="shared" si="3"/>
        <v>10</v>
      </c>
      <c r="BB12">
        <f t="shared" si="3"/>
        <v>11</v>
      </c>
      <c r="BC12">
        <f t="shared" si="3"/>
        <v>12</v>
      </c>
      <c r="BD12">
        <f t="shared" si="3"/>
        <v>13</v>
      </c>
      <c r="BE12">
        <f t="shared" si="3"/>
        <v>14</v>
      </c>
      <c r="BF12">
        <f t="shared" si="3"/>
        <v>15</v>
      </c>
      <c r="BG12">
        <f t="shared" si="3"/>
        <v>16</v>
      </c>
      <c r="BH12">
        <f t="shared" si="3"/>
        <v>17</v>
      </c>
      <c r="BI12">
        <f t="shared" si="3"/>
        <v>18</v>
      </c>
      <c r="BK12">
        <v>0</v>
      </c>
      <c r="BL12">
        <f>BK12+1</f>
        <v>1</v>
      </c>
      <c r="BM12">
        <f t="shared" ref="BM12:CC12" si="4">BL12+1</f>
        <v>2</v>
      </c>
      <c r="BN12">
        <f t="shared" si="4"/>
        <v>3</v>
      </c>
      <c r="BO12">
        <f t="shared" si="4"/>
        <v>4</v>
      </c>
      <c r="BP12">
        <f t="shared" si="4"/>
        <v>5</v>
      </c>
      <c r="BQ12">
        <f t="shared" si="4"/>
        <v>6</v>
      </c>
      <c r="BR12">
        <f t="shared" si="4"/>
        <v>7</v>
      </c>
      <c r="BS12">
        <f t="shared" si="4"/>
        <v>8</v>
      </c>
      <c r="BT12">
        <f t="shared" si="4"/>
        <v>9</v>
      </c>
      <c r="BU12">
        <f t="shared" si="4"/>
        <v>10</v>
      </c>
      <c r="BV12">
        <f t="shared" si="4"/>
        <v>11</v>
      </c>
      <c r="BW12">
        <f t="shared" si="4"/>
        <v>12</v>
      </c>
      <c r="BX12">
        <f t="shared" si="4"/>
        <v>13</v>
      </c>
      <c r="BY12">
        <f t="shared" si="4"/>
        <v>14</v>
      </c>
      <c r="BZ12">
        <f t="shared" si="4"/>
        <v>15</v>
      </c>
      <c r="CA12">
        <f t="shared" si="4"/>
        <v>16</v>
      </c>
      <c r="CB12">
        <f t="shared" si="4"/>
        <v>17</v>
      </c>
      <c r="CC12">
        <f t="shared" si="4"/>
        <v>18</v>
      </c>
      <c r="CI12">
        <v>0</v>
      </c>
      <c r="CJ12">
        <f>CI12+1</f>
        <v>1</v>
      </c>
      <c r="CK12">
        <f t="shared" ref="CK12:DA12" si="5">CJ12+1</f>
        <v>2</v>
      </c>
      <c r="CL12">
        <f t="shared" si="5"/>
        <v>3</v>
      </c>
      <c r="CM12">
        <f t="shared" si="5"/>
        <v>4</v>
      </c>
      <c r="CN12">
        <f t="shared" si="5"/>
        <v>5</v>
      </c>
      <c r="CO12">
        <f t="shared" si="5"/>
        <v>6</v>
      </c>
      <c r="CP12">
        <f t="shared" si="5"/>
        <v>7</v>
      </c>
      <c r="CQ12">
        <f t="shared" si="5"/>
        <v>8</v>
      </c>
      <c r="CR12">
        <f t="shared" si="5"/>
        <v>9</v>
      </c>
      <c r="CS12">
        <f t="shared" si="5"/>
        <v>10</v>
      </c>
      <c r="CT12">
        <f t="shared" si="5"/>
        <v>11</v>
      </c>
      <c r="CU12">
        <f t="shared" si="5"/>
        <v>12</v>
      </c>
      <c r="CV12">
        <f t="shared" si="5"/>
        <v>13</v>
      </c>
      <c r="CW12">
        <f t="shared" si="5"/>
        <v>14</v>
      </c>
      <c r="CX12">
        <f t="shared" si="5"/>
        <v>15</v>
      </c>
      <c r="CY12">
        <f t="shared" si="5"/>
        <v>16</v>
      </c>
      <c r="CZ12">
        <f t="shared" si="5"/>
        <v>17</v>
      </c>
      <c r="DA12">
        <f t="shared" si="5"/>
        <v>18</v>
      </c>
      <c r="DB12" t="s">
        <v>119</v>
      </c>
    </row>
    <row r="13" spans="2:116" x14ac:dyDescent="0.25">
      <c r="B13">
        <v>1</v>
      </c>
      <c r="C13" t="s">
        <v>13</v>
      </c>
      <c r="W13">
        <f>IF(C13&lt;&gt;"",1,0)</f>
        <v>1</v>
      </c>
      <c r="X13">
        <f t="shared" ref="X13:AO13" si="6">IF(D13&lt;&gt;"",1,0)</f>
        <v>0</v>
      </c>
      <c r="Y13">
        <f t="shared" si="6"/>
        <v>0</v>
      </c>
      <c r="Z13">
        <f t="shared" si="6"/>
        <v>0</v>
      </c>
      <c r="AA13">
        <f t="shared" si="6"/>
        <v>0</v>
      </c>
      <c r="AB13">
        <f t="shared" si="6"/>
        <v>0</v>
      </c>
      <c r="AC13">
        <f t="shared" si="6"/>
        <v>0</v>
      </c>
      <c r="AD13">
        <f t="shared" si="6"/>
        <v>0</v>
      </c>
      <c r="AE13">
        <f t="shared" si="6"/>
        <v>0</v>
      </c>
      <c r="AF13">
        <f t="shared" si="6"/>
        <v>0</v>
      </c>
      <c r="AG13">
        <f t="shared" si="6"/>
        <v>0</v>
      </c>
      <c r="AH13">
        <f t="shared" si="6"/>
        <v>0</v>
      </c>
      <c r="AI13">
        <f t="shared" si="6"/>
        <v>0</v>
      </c>
      <c r="AJ13">
        <f t="shared" si="6"/>
        <v>0</v>
      </c>
      <c r="AK13">
        <f t="shared" si="6"/>
        <v>0</v>
      </c>
      <c r="AL13">
        <f t="shared" si="6"/>
        <v>0</v>
      </c>
      <c r="AM13">
        <f t="shared" si="6"/>
        <v>0</v>
      </c>
      <c r="AN13">
        <f t="shared" si="6"/>
        <v>0</v>
      </c>
      <c r="AO13">
        <f t="shared" si="6"/>
        <v>0</v>
      </c>
      <c r="AP13" s="2" t="str">
        <f>IF(SUM(W13:AO13)&gt;1,"Error","")</f>
        <v/>
      </c>
      <c r="AQ13">
        <f>IF(AND(W13=1,W12=1),"+",IF(AND(W13=1,W12=0),IF(AQ12="S","+",1),IF(AND(AQ12&lt;&gt;"",AR13&lt;&gt;""),"S","")))</f>
        <v>1</v>
      </c>
      <c r="AR13" t="str">
        <f>IF(AND(X13=1,X12=1),"+",IF(AND(X13=1,X12=0),IF(AR12="S","+",1),IF(AND(AR12&lt;&gt;"",AS13&lt;&gt;""),"S","")))</f>
        <v/>
      </c>
      <c r="AS13" t="str">
        <f t="shared" ref="AS13" si="7">IF(AND(Y13=1,Y12=1),"+",IF(AND(Y13=1,Y12=0),IF(AS12="S","+",1),IF(AND(AS12&lt;&gt;"",AT13&lt;&gt;""),"S","")))</f>
        <v/>
      </c>
      <c r="AT13" t="str">
        <f t="shared" ref="AT13" si="8">IF(AND(Z13=1,Z12=1),"+",IF(AND(Z13=1,Z12=0),IF(AT12="S","+",1),IF(AND(AT12&lt;&gt;"",AU13&lt;&gt;""),"S","")))</f>
        <v/>
      </c>
      <c r="AU13" t="str">
        <f t="shared" ref="AU13" si="9">IF(AND(AA13=1,AA12=1),"+",IF(AND(AA13=1,AA12=0),IF(AU12="S","+",1),IF(AND(AU12&lt;&gt;"",AV13&lt;&gt;""),"S","")))</f>
        <v/>
      </c>
      <c r="AV13" t="str">
        <f t="shared" ref="AV13" si="10">IF(AND(AB13=1,AB12=1),"+",IF(AND(AB13=1,AB12=0),IF(AV12="S","+",1),IF(AND(AV12&lt;&gt;"",AW13&lt;&gt;""),"S","")))</f>
        <v/>
      </c>
      <c r="AW13" t="str">
        <f t="shared" ref="AW13" si="11">IF(AND(AC13=1,AC12=1),"+",IF(AND(AC13=1,AC12=0),IF(AW12="S","+",1),IF(AND(AW12&lt;&gt;"",AX13&lt;&gt;""),"S","")))</f>
        <v/>
      </c>
      <c r="AX13" t="str">
        <f t="shared" ref="AX13" si="12">IF(AND(AD13=1,AD12=1),"+",IF(AND(AD13=1,AD12=0),IF(AX12="S","+",1),IF(AND(AX12&lt;&gt;"",AY13&lt;&gt;""),"S","")))</f>
        <v/>
      </c>
      <c r="AY13" t="str">
        <f t="shared" ref="AY13" si="13">IF(AND(AE13=1,AE12=1),"+",IF(AND(AE13=1,AE12=0),IF(AY12="S","+",1),IF(AND(AY12&lt;&gt;"",AZ13&lt;&gt;""),"S","")))</f>
        <v/>
      </c>
      <c r="AZ13" t="str">
        <f t="shared" ref="AZ13" si="14">IF(AND(AF13=1,AF12=1),"+",IF(AND(AF13=1,AF12=0),IF(AZ12="S","+",1),IF(AND(AZ12&lt;&gt;"",BA13&lt;&gt;""),"S","")))</f>
        <v/>
      </c>
      <c r="BA13" t="str">
        <f t="shared" ref="BA13" si="15">IF(AND(AG13=1,AG12=1),"+",IF(AND(AG13=1,AG12=0),IF(BA12="S","+",1),IF(AND(BA12&lt;&gt;"",BB13&lt;&gt;""),"S","")))</f>
        <v/>
      </c>
      <c r="BB13" t="str">
        <f t="shared" ref="BB13" si="16">IF(AND(AH13=1,AH12=1),"+",IF(AND(AH13=1,AH12=0),IF(BB12="S","+",1),IF(AND(BB12&lt;&gt;"",BC13&lt;&gt;""),"S","")))</f>
        <v/>
      </c>
      <c r="BC13" t="str">
        <f t="shared" ref="BC13" si="17">IF(AND(AI13=1,AI12=1),"+",IF(AND(AI13=1,AI12=0),IF(BC12="S","+",1),IF(AND(BC12&lt;&gt;"",BD13&lt;&gt;""),"S","")))</f>
        <v/>
      </c>
      <c r="BD13" t="str">
        <f t="shared" ref="BD13" si="18">IF(AND(AJ13=1,AJ12=1),"+",IF(AND(AJ13=1,AJ12=0),IF(BD12="S","+",1),IF(AND(BD12&lt;&gt;"",BE13&lt;&gt;""),"S","")))</f>
        <v/>
      </c>
      <c r="BE13" t="str">
        <f t="shared" ref="BE13" si="19">IF(AND(AK13=1,AK12=1),"+",IF(AND(AK13=1,AK12=0),IF(BE12="S","+",1),IF(AND(BE12&lt;&gt;"",BF13&lt;&gt;""),"S","")))</f>
        <v/>
      </c>
      <c r="BF13" t="str">
        <f t="shared" ref="BF13" si="20">IF(AND(AL13=1,AL12=1),"+",IF(AND(AL13=1,AL12=0),IF(BF12="S","+",1),IF(AND(BF12&lt;&gt;"",BG13&lt;&gt;""),"S","")))</f>
        <v/>
      </c>
      <c r="BG13" t="str">
        <f t="shared" ref="BG13" si="21">IF(AND(AM13=1,AM12=1),"+",IF(AND(AM13=1,AM12=0),IF(BG12="S","+",1),IF(AND(BG12&lt;&gt;"",BH13&lt;&gt;""),"S","")))</f>
        <v/>
      </c>
      <c r="BH13" t="str">
        <f t="shared" ref="BH13" si="22">IF(AND(AN13=1,AN12=1),"+",IF(AND(AN13=1,AN12=0),IF(BH12="S","+",1),IF(AND(BH12&lt;&gt;"",BI13&lt;&gt;""),"S","")))</f>
        <v/>
      </c>
      <c r="BI13" t="str">
        <f t="shared" ref="BI13" si="23">IF(AND(AO13=1,AO12=1),"+",IF(AND(AO13=1,AO12=0),IF(BI12="S","+",1),IF(AND(BI12&lt;&gt;"",BJ13&lt;&gt;""),"S","")))</f>
        <v/>
      </c>
      <c r="BK13">
        <f>IF(AQ13=1,1,IF(AQ13="S",BK12,IF(AQ13="+",BK12+1,0)))</f>
        <v>1</v>
      </c>
      <c r="BL13">
        <f>IF(AR13=1,1,IF(AR13="S",BL12,IF(AR13="+",BL12+1,0)))</f>
        <v>0</v>
      </c>
      <c r="BM13">
        <f t="shared" ref="BM13:CC13" si="24">IF(AS13=1,1,IF(AS13="S",BM12,IF(AS13="+",BM12+1,0)))</f>
        <v>0</v>
      </c>
      <c r="BN13">
        <f t="shared" si="24"/>
        <v>0</v>
      </c>
      <c r="BO13">
        <f t="shared" si="24"/>
        <v>0</v>
      </c>
      <c r="BP13">
        <f t="shared" si="24"/>
        <v>0</v>
      </c>
      <c r="BQ13">
        <f t="shared" si="24"/>
        <v>0</v>
      </c>
      <c r="BR13">
        <f t="shared" si="24"/>
        <v>0</v>
      </c>
      <c r="BS13">
        <f t="shared" si="24"/>
        <v>0</v>
      </c>
      <c r="BT13">
        <f t="shared" si="24"/>
        <v>0</v>
      </c>
      <c r="BU13">
        <f t="shared" si="24"/>
        <v>0</v>
      </c>
      <c r="BV13">
        <f t="shared" si="24"/>
        <v>0</v>
      </c>
      <c r="BW13">
        <f t="shared" si="24"/>
        <v>0</v>
      </c>
      <c r="BX13">
        <f t="shared" si="24"/>
        <v>0</v>
      </c>
      <c r="BY13">
        <f t="shared" si="24"/>
        <v>0</v>
      </c>
      <c r="BZ13">
        <f t="shared" si="24"/>
        <v>0</v>
      </c>
      <c r="CA13">
        <f t="shared" si="24"/>
        <v>0</v>
      </c>
      <c r="CB13">
        <f t="shared" si="24"/>
        <v>0</v>
      </c>
      <c r="CC13">
        <f t="shared" si="24"/>
        <v>0</v>
      </c>
      <c r="CE13" t="str">
        <f>TEXT(B13,"000")</f>
        <v>001</v>
      </c>
      <c r="CF13" t="str">
        <f>TEXT(0,"00")</f>
        <v>00</v>
      </c>
      <c r="CG13" t="str">
        <f t="shared" ref="CG13:CH28" si="25">TEXT(0,"00")</f>
        <v>00</v>
      </c>
      <c r="CH13" t="str">
        <f t="shared" si="25"/>
        <v>00</v>
      </c>
      <c r="CI13" t="str">
        <f>TEXT(BK13,"00")</f>
        <v>01</v>
      </c>
      <c r="CJ13" t="str">
        <f t="shared" ref="CJ13:DA13" si="26">TEXT(BL13,"00")</f>
        <v>00</v>
      </c>
      <c r="CK13" t="str">
        <f t="shared" si="26"/>
        <v>00</v>
      </c>
      <c r="CL13" t="str">
        <f t="shared" si="26"/>
        <v>00</v>
      </c>
      <c r="CM13" t="str">
        <f t="shared" si="26"/>
        <v>00</v>
      </c>
      <c r="CN13" t="str">
        <f t="shared" si="26"/>
        <v>00</v>
      </c>
      <c r="CO13" t="str">
        <f t="shared" si="26"/>
        <v>00</v>
      </c>
      <c r="CP13" t="str">
        <f t="shared" si="26"/>
        <v>00</v>
      </c>
      <c r="CQ13" t="str">
        <f t="shared" si="26"/>
        <v>00</v>
      </c>
      <c r="CR13" t="str">
        <f t="shared" si="26"/>
        <v>00</v>
      </c>
      <c r="CS13" t="str">
        <f t="shared" si="26"/>
        <v>00</v>
      </c>
      <c r="CT13" t="str">
        <f t="shared" si="26"/>
        <v>00</v>
      </c>
      <c r="CU13" t="str">
        <f t="shared" si="26"/>
        <v>00</v>
      </c>
      <c r="CV13" t="str">
        <f t="shared" si="26"/>
        <v>00</v>
      </c>
      <c r="CW13" t="str">
        <f t="shared" si="26"/>
        <v>00</v>
      </c>
      <c r="CX13" t="str">
        <f t="shared" si="26"/>
        <v>00</v>
      </c>
      <c r="CY13" t="str">
        <f t="shared" si="26"/>
        <v>00</v>
      </c>
      <c r="CZ13" t="str">
        <f t="shared" si="26"/>
        <v>00</v>
      </c>
      <c r="DA13" t="str">
        <f t="shared" si="26"/>
        <v>00</v>
      </c>
      <c r="DB13" t="str">
        <f>TEXT(19-COUNTIF(CI13:DA13,"=00"),"00")</f>
        <v>01</v>
      </c>
      <c r="DC13" t="str">
        <f>_xlfn.CONCAT(CI13:DB13)</f>
        <v>0100000000000000000000000000000000000001</v>
      </c>
      <c r="DD13" t="str">
        <f>_xlfn.CONCAT(C13:U13)</f>
        <v xml:space="preserve">Start </v>
      </c>
      <c r="DE13" t="s">
        <v>120</v>
      </c>
      <c r="DF13" t="s">
        <v>223</v>
      </c>
      <c r="DG13" t="s">
        <v>224</v>
      </c>
      <c r="DH13" t="s">
        <v>225</v>
      </c>
      <c r="DI13" t="s">
        <v>226</v>
      </c>
      <c r="DJ13" t="s">
        <v>227</v>
      </c>
      <c r="DK13" t="s">
        <v>228</v>
      </c>
      <c r="DL13" t="str">
        <f>_xlfn.TEXTJOIN(",", TRUE,CE13:DK13)</f>
        <v>001,00,00,00,01,00,00,00,00,00,00,00,00,00,00,00,00,00,00,00,00,00,00,01,0100000000000000000000000000000000000001,Start ,file1,Blk1,Blk2,Blk3,Blk4,Blk5,Blk6</v>
      </c>
    </row>
    <row r="14" spans="2:116" x14ac:dyDescent="0.25">
      <c r="B14">
        <f>B13+1</f>
        <v>2</v>
      </c>
      <c r="D14" t="s">
        <v>14</v>
      </c>
      <c r="W14">
        <f t="shared" ref="W14:W19" si="27">IF(C14&lt;&gt;"",1,0)</f>
        <v>0</v>
      </c>
      <c r="X14">
        <f t="shared" ref="X14:X19" si="28">IF(D14&lt;&gt;"",1,0)</f>
        <v>1</v>
      </c>
      <c r="Y14">
        <f t="shared" ref="Y14:Y19" si="29">IF(E14&lt;&gt;"",1,0)</f>
        <v>0</v>
      </c>
      <c r="Z14">
        <f t="shared" ref="Z14:Z19" si="30">IF(F14&lt;&gt;"",1,0)</f>
        <v>0</v>
      </c>
      <c r="AA14">
        <f t="shared" ref="AA14:AA19" si="31">IF(G14&lt;&gt;"",1,0)</f>
        <v>0</v>
      </c>
      <c r="AB14">
        <f t="shared" ref="AB14:AB19" si="32">IF(H14&lt;&gt;"",1,0)</f>
        <v>0</v>
      </c>
      <c r="AC14">
        <f t="shared" ref="AC14:AC19" si="33">IF(I14&lt;&gt;"",1,0)</f>
        <v>0</v>
      </c>
      <c r="AD14">
        <f t="shared" ref="AD14:AD19" si="34">IF(J14&lt;&gt;"",1,0)</f>
        <v>0</v>
      </c>
      <c r="AE14">
        <f t="shared" ref="AE14:AE19" si="35">IF(K14&lt;&gt;"",1,0)</f>
        <v>0</v>
      </c>
      <c r="AF14">
        <f t="shared" ref="AF14:AF19" si="36">IF(L14&lt;&gt;"",1,0)</f>
        <v>0</v>
      </c>
      <c r="AG14">
        <f t="shared" ref="AG14:AG19" si="37">IF(M14&lt;&gt;"",1,0)</f>
        <v>0</v>
      </c>
      <c r="AH14">
        <f t="shared" ref="AH14:AH19" si="38">IF(N14&lt;&gt;"",1,0)</f>
        <v>0</v>
      </c>
      <c r="AI14">
        <f t="shared" ref="AI14:AI19" si="39">IF(O14&lt;&gt;"",1,0)</f>
        <v>0</v>
      </c>
      <c r="AJ14">
        <f t="shared" ref="AJ14:AJ19" si="40">IF(P14&lt;&gt;"",1,0)</f>
        <v>0</v>
      </c>
      <c r="AK14">
        <f t="shared" ref="AK14:AK19" si="41">IF(Q14&lt;&gt;"",1,0)</f>
        <v>0</v>
      </c>
      <c r="AL14">
        <f t="shared" ref="AL14:AL19" si="42">IF(R14&lt;&gt;"",1,0)</f>
        <v>0</v>
      </c>
      <c r="AM14">
        <f t="shared" ref="AM14:AM19" si="43">IF(S14&lt;&gt;"",1,0)</f>
        <v>0</v>
      </c>
      <c r="AN14">
        <f t="shared" ref="AN14:AN19" si="44">IF(T14&lt;&gt;"",1,0)</f>
        <v>0</v>
      </c>
      <c r="AO14">
        <f t="shared" ref="AO14:AO19" si="45">IF(U14&lt;&gt;"",1,0)</f>
        <v>0</v>
      </c>
      <c r="AP14" s="2" t="str">
        <f t="shared" ref="AP14:AP77" si="46">IF(SUM(W14:AO14)&gt;1,"Error","")</f>
        <v/>
      </c>
      <c r="AQ14" t="str">
        <f>IF(AND(W14=1,W13=1),"+",IF(AND(W14=1,W13=0),IF(AQ13="S","+",1),IF(AND(AQ13&lt;&gt;"",AR14&lt;&gt;""),"S","")))</f>
        <v>S</v>
      </c>
      <c r="AR14">
        <f>IF(AND(X14=1,X13=1),"+",IF(AND(X14=1,X13=0),IF(AR13="S","+",1),IF(AND(AR13&lt;&gt;"",AS14&lt;&gt;""),"S","")))</f>
        <v>1</v>
      </c>
      <c r="AS14" t="str">
        <f t="shared" ref="AS14:BI15" si="47">IF(AND(Y14=1,Y13=1),"+",IF(AND(Y14=1,Y13=0),IF(AS13="S","+",1),IF(AND(AS13&lt;&gt;"",AT14&lt;&gt;""),"S","")))</f>
        <v/>
      </c>
      <c r="AT14" t="str">
        <f t="shared" si="47"/>
        <v/>
      </c>
      <c r="AU14" t="str">
        <f t="shared" si="47"/>
        <v/>
      </c>
      <c r="AV14" t="str">
        <f t="shared" si="47"/>
        <v/>
      </c>
      <c r="AW14" t="str">
        <f t="shared" si="47"/>
        <v/>
      </c>
      <c r="AX14" t="str">
        <f t="shared" si="47"/>
        <v/>
      </c>
      <c r="AY14" t="str">
        <f t="shared" si="47"/>
        <v/>
      </c>
      <c r="AZ14" t="str">
        <f t="shared" si="47"/>
        <v/>
      </c>
      <c r="BA14" t="str">
        <f t="shared" si="47"/>
        <v/>
      </c>
      <c r="BB14" t="str">
        <f t="shared" si="47"/>
        <v/>
      </c>
      <c r="BC14" t="str">
        <f t="shared" si="47"/>
        <v/>
      </c>
      <c r="BD14" t="str">
        <f t="shared" si="47"/>
        <v/>
      </c>
      <c r="BE14" t="str">
        <f t="shared" si="47"/>
        <v/>
      </c>
      <c r="BF14" t="str">
        <f t="shared" si="47"/>
        <v/>
      </c>
      <c r="BG14" t="str">
        <f t="shared" si="47"/>
        <v/>
      </c>
      <c r="BH14" t="str">
        <f t="shared" si="47"/>
        <v/>
      </c>
      <c r="BI14" t="str">
        <f t="shared" si="47"/>
        <v/>
      </c>
      <c r="BK14">
        <f t="shared" ref="BK14:BK77" si="48">IF(AQ14=1,1,IF(AQ14="S",BK13,IF(AQ14="+",BK13+1,0)))</f>
        <v>1</v>
      </c>
      <c r="BL14">
        <f t="shared" ref="BL14:BL77" si="49">IF(AR14=1,1,IF(AR14="S",BL13,IF(AR14="+",BL13+1,0)))</f>
        <v>1</v>
      </c>
      <c r="BM14">
        <f t="shared" ref="BM14:BM77" si="50">IF(AS14=1,1,IF(AS14="S",BM13,IF(AS14="+",BM13+1,0)))</f>
        <v>0</v>
      </c>
      <c r="BN14">
        <f t="shared" ref="BN14:BN77" si="51">IF(AT14=1,1,IF(AT14="S",BN13,IF(AT14="+",BN13+1,0)))</f>
        <v>0</v>
      </c>
      <c r="BO14">
        <f t="shared" ref="BO14:BO77" si="52">IF(AU14=1,1,IF(AU14="S",BO13,IF(AU14="+",BO13+1,0)))</f>
        <v>0</v>
      </c>
      <c r="BP14">
        <f t="shared" ref="BP14:BP77" si="53">IF(AV14=1,1,IF(AV14="S",BP13,IF(AV14="+",BP13+1,0)))</f>
        <v>0</v>
      </c>
      <c r="BQ14">
        <f t="shared" ref="BQ14:BQ77" si="54">IF(AW14=1,1,IF(AW14="S",BQ13,IF(AW14="+",BQ13+1,0)))</f>
        <v>0</v>
      </c>
      <c r="BR14">
        <f t="shared" ref="BR14:BR77" si="55">IF(AX14=1,1,IF(AX14="S",BR13,IF(AX14="+",BR13+1,0)))</f>
        <v>0</v>
      </c>
      <c r="BS14">
        <f t="shared" ref="BS14:BS77" si="56">IF(AY14=1,1,IF(AY14="S",BS13,IF(AY14="+",BS13+1,0)))</f>
        <v>0</v>
      </c>
      <c r="BT14">
        <f t="shared" ref="BT14:BT77" si="57">IF(AZ14=1,1,IF(AZ14="S",BT13,IF(AZ14="+",BT13+1,0)))</f>
        <v>0</v>
      </c>
      <c r="BU14">
        <f t="shared" ref="BU14:BU77" si="58">IF(BA14=1,1,IF(BA14="S",BU13,IF(BA14="+",BU13+1,0)))</f>
        <v>0</v>
      </c>
      <c r="BV14">
        <f t="shared" ref="BV14:BV77" si="59">IF(BB14=1,1,IF(BB14="S",BV13,IF(BB14="+",BV13+1,0)))</f>
        <v>0</v>
      </c>
      <c r="BW14">
        <f t="shared" ref="BW14:BW77" si="60">IF(BC14=1,1,IF(BC14="S",BW13,IF(BC14="+",BW13+1,0)))</f>
        <v>0</v>
      </c>
      <c r="BX14">
        <f t="shared" ref="BX14:BX77" si="61">IF(BD14=1,1,IF(BD14="S",BX13,IF(BD14="+",BX13+1,0)))</f>
        <v>0</v>
      </c>
      <c r="BY14">
        <f t="shared" ref="BY14:BY77" si="62">IF(BE14=1,1,IF(BE14="S",BY13,IF(BE14="+",BY13+1,0)))</f>
        <v>0</v>
      </c>
      <c r="BZ14">
        <f t="shared" ref="BZ14:BZ77" si="63">IF(BF14=1,1,IF(BF14="S",BZ13,IF(BF14="+",BZ13+1,0)))</f>
        <v>0</v>
      </c>
      <c r="CA14">
        <f t="shared" ref="CA14:CA77" si="64">IF(BG14=1,1,IF(BG14="S",CA13,IF(BG14="+",CA13+1,0)))</f>
        <v>0</v>
      </c>
      <c r="CB14">
        <f t="shared" ref="CB14:CB77" si="65">IF(BH14=1,1,IF(BH14="S",CB13,IF(BH14="+",CB13+1,0)))</f>
        <v>0</v>
      </c>
      <c r="CC14">
        <f t="shared" ref="CC14:CC77" si="66">IF(BI14=1,1,IF(BI14="S",CC13,IF(BI14="+",CC13+1,0)))</f>
        <v>0</v>
      </c>
      <c r="CE14" t="str">
        <f t="shared" ref="CE14:CE77" si="67">TEXT(B14,"000")</f>
        <v>002</v>
      </c>
      <c r="CF14" t="str">
        <f t="shared" ref="CF14:CH45" si="68">TEXT(0,"00")</f>
        <v>00</v>
      </c>
      <c r="CG14" t="str">
        <f t="shared" si="25"/>
        <v>00</v>
      </c>
      <c r="CH14" t="str">
        <f t="shared" si="25"/>
        <v>00</v>
      </c>
      <c r="CI14" t="str">
        <f t="shared" ref="CI14:CI77" si="69">TEXT(BK14,"00")</f>
        <v>01</v>
      </c>
      <c r="CJ14" t="str">
        <f t="shared" ref="CJ14:CJ77" si="70">TEXT(BL14,"00")</f>
        <v>01</v>
      </c>
      <c r="CK14" t="str">
        <f t="shared" ref="CK14:CK77" si="71">TEXT(BM14,"00")</f>
        <v>00</v>
      </c>
      <c r="CL14" t="str">
        <f t="shared" ref="CL14:CL77" si="72">TEXT(BN14,"00")</f>
        <v>00</v>
      </c>
      <c r="CM14" t="str">
        <f t="shared" ref="CM14:CM77" si="73">TEXT(BO14,"00")</f>
        <v>00</v>
      </c>
      <c r="CN14" t="str">
        <f t="shared" ref="CN14:CN77" si="74">TEXT(BP14,"00")</f>
        <v>00</v>
      </c>
      <c r="CO14" t="str">
        <f t="shared" ref="CO14:CO77" si="75">TEXT(BQ14,"00")</f>
        <v>00</v>
      </c>
      <c r="CP14" t="str">
        <f t="shared" ref="CP14:CP77" si="76">TEXT(BR14,"00")</f>
        <v>00</v>
      </c>
      <c r="CQ14" t="str">
        <f t="shared" ref="CQ14:CQ77" si="77">TEXT(BS14,"00")</f>
        <v>00</v>
      </c>
      <c r="CR14" t="str">
        <f t="shared" ref="CR14:CR77" si="78">TEXT(BT14,"00")</f>
        <v>00</v>
      </c>
      <c r="CS14" t="str">
        <f t="shared" ref="CS14:CS77" si="79">TEXT(BU14,"00")</f>
        <v>00</v>
      </c>
      <c r="CT14" t="str">
        <f t="shared" ref="CT14:CT77" si="80">TEXT(BV14,"00")</f>
        <v>00</v>
      </c>
      <c r="CU14" t="str">
        <f t="shared" ref="CU14:CU77" si="81">TEXT(BW14,"00")</f>
        <v>00</v>
      </c>
      <c r="CV14" t="str">
        <f t="shared" ref="CV14:CV77" si="82">TEXT(BX14,"00")</f>
        <v>00</v>
      </c>
      <c r="CW14" t="str">
        <f t="shared" ref="CW14:CW77" si="83">TEXT(BY14,"00")</f>
        <v>00</v>
      </c>
      <c r="CX14" t="str">
        <f t="shared" ref="CX14:CX77" si="84">TEXT(BZ14,"00")</f>
        <v>00</v>
      </c>
      <c r="CY14" t="str">
        <f t="shared" ref="CY14:CY77" si="85">TEXT(CA14,"00")</f>
        <v>00</v>
      </c>
      <c r="CZ14" t="str">
        <f t="shared" ref="CZ14:CZ77" si="86">TEXT(CB14,"00")</f>
        <v>00</v>
      </c>
      <c r="DA14" t="str">
        <f t="shared" ref="DA14:DA77" si="87">TEXT(CC14,"00")</f>
        <v>00</v>
      </c>
      <c r="DB14" t="str">
        <f t="shared" ref="DB14:DB77" si="88">TEXT(19-COUNTIF(CI14:DA14,"=00"),"00")</f>
        <v>02</v>
      </c>
      <c r="DC14" t="str">
        <f t="shared" ref="DC14:DC77" si="89">_xlfn.CONCAT(CI14:DB14)</f>
        <v>0101000000000000000000000000000000000002</v>
      </c>
      <c r="DD14" t="str">
        <f t="shared" ref="DD14:DD77" si="90">_xlfn.CONCAT(C14:U14)</f>
        <v>Dashboard</v>
      </c>
      <c r="DE14" t="s">
        <v>121</v>
      </c>
      <c r="DF14" t="s">
        <v>223</v>
      </c>
      <c r="DG14" t="s">
        <v>224</v>
      </c>
      <c r="DH14" t="s">
        <v>225</v>
      </c>
      <c r="DI14" t="s">
        <v>226</v>
      </c>
      <c r="DJ14" t="s">
        <v>227</v>
      </c>
      <c r="DK14" t="s">
        <v>228</v>
      </c>
      <c r="DL14" t="str">
        <f t="shared" ref="DL14:DL77" si="91">_xlfn.TEXTJOIN(",", TRUE,CE14:DK14)</f>
        <v>002,00,00,00,01,01,00,00,00,00,00,00,00,00,00,00,00,00,00,00,00,00,00,02,0101000000000000000000000000000000000002,Dashboard,file2,Blk1,Blk2,Blk3,Blk4,Blk5,Blk6</v>
      </c>
    </row>
    <row r="15" spans="2:116" x14ac:dyDescent="0.25">
      <c r="B15">
        <f t="shared" ref="B15:B78" si="92">B14+1</f>
        <v>3</v>
      </c>
      <c r="D15" t="s">
        <v>15</v>
      </c>
      <c r="W15">
        <f t="shared" si="27"/>
        <v>0</v>
      </c>
      <c r="X15">
        <f t="shared" si="28"/>
        <v>1</v>
      </c>
      <c r="Y15">
        <f t="shared" si="29"/>
        <v>0</v>
      </c>
      <c r="Z15">
        <f t="shared" si="30"/>
        <v>0</v>
      </c>
      <c r="AA15">
        <f t="shared" si="31"/>
        <v>0</v>
      </c>
      <c r="AB15">
        <f t="shared" si="32"/>
        <v>0</v>
      </c>
      <c r="AC15">
        <f t="shared" si="33"/>
        <v>0</v>
      </c>
      <c r="AD15">
        <f t="shared" si="34"/>
        <v>0</v>
      </c>
      <c r="AE15">
        <f t="shared" si="35"/>
        <v>0</v>
      </c>
      <c r="AF15">
        <f t="shared" si="36"/>
        <v>0</v>
      </c>
      <c r="AG15">
        <f t="shared" si="37"/>
        <v>0</v>
      </c>
      <c r="AH15">
        <f t="shared" si="38"/>
        <v>0</v>
      </c>
      <c r="AI15">
        <f t="shared" si="39"/>
        <v>0</v>
      </c>
      <c r="AJ15">
        <f t="shared" si="40"/>
        <v>0</v>
      </c>
      <c r="AK15">
        <f t="shared" si="41"/>
        <v>0</v>
      </c>
      <c r="AL15">
        <f t="shared" si="42"/>
        <v>0</v>
      </c>
      <c r="AM15">
        <f t="shared" si="43"/>
        <v>0</v>
      </c>
      <c r="AN15">
        <f t="shared" si="44"/>
        <v>0</v>
      </c>
      <c r="AO15">
        <f t="shared" si="45"/>
        <v>0</v>
      </c>
      <c r="AP15" s="2" t="str">
        <f t="shared" si="46"/>
        <v/>
      </c>
      <c r="AQ15" t="str">
        <f t="shared" ref="AQ15:AR15" si="93">IF(AND(W15=1,W14=1),"+",IF(AND(W15=1,W14=0),IF(AQ14="S","+",1),IF(AND(AQ14&lt;&gt;"",AR15&lt;&gt;""),"S","")))</f>
        <v>S</v>
      </c>
      <c r="AR15" t="str">
        <f t="shared" si="93"/>
        <v>+</v>
      </c>
      <c r="AS15" t="str">
        <f t="shared" si="47"/>
        <v/>
      </c>
      <c r="AT15" t="str">
        <f t="shared" si="47"/>
        <v/>
      </c>
      <c r="AU15" t="str">
        <f t="shared" si="47"/>
        <v/>
      </c>
      <c r="AV15" t="str">
        <f t="shared" si="47"/>
        <v/>
      </c>
      <c r="AW15" t="str">
        <f t="shared" si="47"/>
        <v/>
      </c>
      <c r="AX15" t="str">
        <f t="shared" si="47"/>
        <v/>
      </c>
      <c r="AY15" t="str">
        <f t="shared" si="47"/>
        <v/>
      </c>
      <c r="AZ15" t="str">
        <f t="shared" si="47"/>
        <v/>
      </c>
      <c r="BA15" t="str">
        <f t="shared" si="47"/>
        <v/>
      </c>
      <c r="BB15" t="str">
        <f t="shared" si="47"/>
        <v/>
      </c>
      <c r="BC15" t="str">
        <f t="shared" si="47"/>
        <v/>
      </c>
      <c r="BD15" t="str">
        <f t="shared" si="47"/>
        <v/>
      </c>
      <c r="BE15" t="str">
        <f t="shared" si="47"/>
        <v/>
      </c>
      <c r="BF15" t="str">
        <f t="shared" si="47"/>
        <v/>
      </c>
      <c r="BG15" t="str">
        <f t="shared" si="47"/>
        <v/>
      </c>
      <c r="BH15" t="str">
        <f t="shared" si="47"/>
        <v/>
      </c>
      <c r="BI15" t="str">
        <f t="shared" si="47"/>
        <v/>
      </c>
      <c r="BK15">
        <f t="shared" si="48"/>
        <v>1</v>
      </c>
      <c r="BL15">
        <f t="shared" si="49"/>
        <v>2</v>
      </c>
      <c r="BM15">
        <f t="shared" si="50"/>
        <v>0</v>
      </c>
      <c r="BN15">
        <f t="shared" si="51"/>
        <v>0</v>
      </c>
      <c r="BO15">
        <f t="shared" si="52"/>
        <v>0</v>
      </c>
      <c r="BP15">
        <f t="shared" si="53"/>
        <v>0</v>
      </c>
      <c r="BQ15">
        <f t="shared" si="54"/>
        <v>0</v>
      </c>
      <c r="BR15">
        <f t="shared" si="55"/>
        <v>0</v>
      </c>
      <c r="BS15">
        <f t="shared" si="56"/>
        <v>0</v>
      </c>
      <c r="BT15">
        <f t="shared" si="57"/>
        <v>0</v>
      </c>
      <c r="BU15">
        <f t="shared" si="58"/>
        <v>0</v>
      </c>
      <c r="BV15">
        <f t="shared" si="59"/>
        <v>0</v>
      </c>
      <c r="BW15">
        <f t="shared" si="60"/>
        <v>0</v>
      </c>
      <c r="BX15">
        <f t="shared" si="61"/>
        <v>0</v>
      </c>
      <c r="BY15">
        <f t="shared" si="62"/>
        <v>0</v>
      </c>
      <c r="BZ15">
        <f t="shared" si="63"/>
        <v>0</v>
      </c>
      <c r="CA15">
        <f t="shared" si="64"/>
        <v>0</v>
      </c>
      <c r="CB15">
        <f t="shared" si="65"/>
        <v>0</v>
      </c>
      <c r="CC15">
        <f t="shared" si="66"/>
        <v>0</v>
      </c>
      <c r="CE15" t="str">
        <f t="shared" si="67"/>
        <v>003</v>
      </c>
      <c r="CF15" t="str">
        <f t="shared" si="68"/>
        <v>00</v>
      </c>
      <c r="CG15" t="str">
        <f t="shared" si="25"/>
        <v>00</v>
      </c>
      <c r="CH15" t="str">
        <f t="shared" si="25"/>
        <v>00</v>
      </c>
      <c r="CI15" t="str">
        <f t="shared" si="69"/>
        <v>01</v>
      </c>
      <c r="CJ15" t="str">
        <f t="shared" si="70"/>
        <v>02</v>
      </c>
      <c r="CK15" t="str">
        <f t="shared" si="71"/>
        <v>00</v>
      </c>
      <c r="CL15" t="str">
        <f t="shared" si="72"/>
        <v>00</v>
      </c>
      <c r="CM15" t="str">
        <f t="shared" si="73"/>
        <v>00</v>
      </c>
      <c r="CN15" t="str">
        <f t="shared" si="74"/>
        <v>00</v>
      </c>
      <c r="CO15" t="str">
        <f t="shared" si="75"/>
        <v>00</v>
      </c>
      <c r="CP15" t="str">
        <f t="shared" si="76"/>
        <v>00</v>
      </c>
      <c r="CQ15" t="str">
        <f t="shared" si="77"/>
        <v>00</v>
      </c>
      <c r="CR15" t="str">
        <f t="shared" si="78"/>
        <v>00</v>
      </c>
      <c r="CS15" t="str">
        <f t="shared" si="79"/>
        <v>00</v>
      </c>
      <c r="CT15" t="str">
        <f t="shared" si="80"/>
        <v>00</v>
      </c>
      <c r="CU15" t="str">
        <f t="shared" si="81"/>
        <v>00</v>
      </c>
      <c r="CV15" t="str">
        <f t="shared" si="82"/>
        <v>00</v>
      </c>
      <c r="CW15" t="str">
        <f t="shared" si="83"/>
        <v>00</v>
      </c>
      <c r="CX15" t="str">
        <f t="shared" si="84"/>
        <v>00</v>
      </c>
      <c r="CY15" t="str">
        <f t="shared" si="85"/>
        <v>00</v>
      </c>
      <c r="CZ15" t="str">
        <f t="shared" si="86"/>
        <v>00</v>
      </c>
      <c r="DA15" t="str">
        <f t="shared" si="87"/>
        <v>00</v>
      </c>
      <c r="DB15" t="str">
        <f t="shared" si="88"/>
        <v>02</v>
      </c>
      <c r="DC15" t="str">
        <f t="shared" si="89"/>
        <v>0102000000000000000000000000000000000002</v>
      </c>
      <c r="DD15" t="str">
        <f t="shared" si="90"/>
        <v>Thing to do</v>
      </c>
      <c r="DE15" t="s">
        <v>122</v>
      </c>
      <c r="DF15" t="s">
        <v>223</v>
      </c>
      <c r="DG15" t="s">
        <v>224</v>
      </c>
      <c r="DH15" t="s">
        <v>225</v>
      </c>
      <c r="DI15" t="s">
        <v>226</v>
      </c>
      <c r="DJ15" t="s">
        <v>227</v>
      </c>
      <c r="DK15" t="s">
        <v>228</v>
      </c>
      <c r="DL15" t="str">
        <f t="shared" si="91"/>
        <v>003,00,00,00,01,02,00,00,00,00,00,00,00,00,00,00,00,00,00,00,00,00,00,02,0102000000000000000000000000000000000002,Thing to do,file3,Blk1,Blk2,Blk3,Blk4,Blk5,Blk6</v>
      </c>
    </row>
    <row r="16" spans="2:116" x14ac:dyDescent="0.25">
      <c r="B16">
        <f t="shared" si="92"/>
        <v>4</v>
      </c>
      <c r="E16" t="s">
        <v>16</v>
      </c>
      <c r="W16">
        <f t="shared" si="27"/>
        <v>0</v>
      </c>
      <c r="X16">
        <f t="shared" si="28"/>
        <v>0</v>
      </c>
      <c r="Y16">
        <f t="shared" si="29"/>
        <v>1</v>
      </c>
      <c r="Z16">
        <f t="shared" si="30"/>
        <v>0</v>
      </c>
      <c r="AA16">
        <f t="shared" si="31"/>
        <v>0</v>
      </c>
      <c r="AB16">
        <f t="shared" si="32"/>
        <v>0</v>
      </c>
      <c r="AC16">
        <f t="shared" si="33"/>
        <v>0</v>
      </c>
      <c r="AD16">
        <f t="shared" si="34"/>
        <v>0</v>
      </c>
      <c r="AE16">
        <f t="shared" si="35"/>
        <v>0</v>
      </c>
      <c r="AF16">
        <f t="shared" si="36"/>
        <v>0</v>
      </c>
      <c r="AG16">
        <f t="shared" si="37"/>
        <v>0</v>
      </c>
      <c r="AH16">
        <f t="shared" si="38"/>
        <v>0</v>
      </c>
      <c r="AI16">
        <f t="shared" si="39"/>
        <v>0</v>
      </c>
      <c r="AJ16">
        <f t="shared" si="40"/>
        <v>0</v>
      </c>
      <c r="AK16">
        <f t="shared" si="41"/>
        <v>0</v>
      </c>
      <c r="AL16">
        <f t="shared" si="42"/>
        <v>0</v>
      </c>
      <c r="AM16">
        <f t="shared" si="43"/>
        <v>0</v>
      </c>
      <c r="AN16">
        <f t="shared" si="44"/>
        <v>0</v>
      </c>
      <c r="AO16">
        <f t="shared" si="45"/>
        <v>0</v>
      </c>
      <c r="AP16" s="2" t="str">
        <f t="shared" si="46"/>
        <v/>
      </c>
      <c r="AQ16" t="str">
        <f t="shared" ref="AQ16:AR16" si="94">IF(AND(W16=1,W15=1),"+",IF(AND(W16=1,W15=0),IF(AQ15="S","+",1),IF(AND(AQ15&lt;&gt;"",AR16&lt;&gt;""),"S","")))</f>
        <v>S</v>
      </c>
      <c r="AR16" t="str">
        <f t="shared" si="94"/>
        <v>S</v>
      </c>
      <c r="AS16">
        <f t="shared" ref="AS16:AS25" si="95">IF(AND(Y16=1,Y15=1),"+",IF(AND(Y16=1,Y15=0),IF(AS15="S","+",1),IF(AND(AS15&lt;&gt;"",AT16&lt;&gt;""),"S","")))</f>
        <v>1</v>
      </c>
      <c r="AT16" t="str">
        <f t="shared" ref="AT16:AT25" si="96">IF(AND(Z16=1,Z15=1),"+",IF(AND(Z16=1,Z15=0),IF(AT15="S","+",1),IF(AND(AT15&lt;&gt;"",AU16&lt;&gt;""),"S","")))</f>
        <v/>
      </c>
      <c r="AU16" t="str">
        <f t="shared" ref="AU16:AU25" si="97">IF(AND(AA16=1,AA15=1),"+",IF(AND(AA16=1,AA15=0),IF(AU15="S","+",1),IF(AND(AU15&lt;&gt;"",AV16&lt;&gt;""),"S","")))</f>
        <v/>
      </c>
      <c r="AV16" t="str">
        <f t="shared" ref="AV16:AV25" si="98">IF(AND(AB16=1,AB15=1),"+",IF(AND(AB16=1,AB15=0),IF(AV15="S","+",1),IF(AND(AV15&lt;&gt;"",AW16&lt;&gt;""),"S","")))</f>
        <v/>
      </c>
      <c r="AW16" t="str">
        <f t="shared" ref="AW16:AW25" si="99">IF(AND(AC16=1,AC15=1),"+",IF(AND(AC16=1,AC15=0),IF(AW15="S","+",1),IF(AND(AW15&lt;&gt;"",AX16&lt;&gt;""),"S","")))</f>
        <v/>
      </c>
      <c r="AX16" t="str">
        <f t="shared" ref="AX16:AX25" si="100">IF(AND(AD16=1,AD15=1),"+",IF(AND(AD16=1,AD15=0),IF(AX15="S","+",1),IF(AND(AX15&lt;&gt;"",AY16&lt;&gt;""),"S","")))</f>
        <v/>
      </c>
      <c r="AY16" t="str">
        <f t="shared" ref="AY16:AY25" si="101">IF(AND(AE16=1,AE15=1),"+",IF(AND(AE16=1,AE15=0),IF(AY15="S","+",1),IF(AND(AY15&lt;&gt;"",AZ16&lt;&gt;""),"S","")))</f>
        <v/>
      </c>
      <c r="AZ16" t="str">
        <f t="shared" ref="AZ16:AZ25" si="102">IF(AND(AF16=1,AF15=1),"+",IF(AND(AF16=1,AF15=0),IF(AZ15="S","+",1),IF(AND(AZ15&lt;&gt;"",BA16&lt;&gt;""),"S","")))</f>
        <v/>
      </c>
      <c r="BA16" t="str">
        <f t="shared" ref="BA16:BA25" si="103">IF(AND(AG16=1,AG15=1),"+",IF(AND(AG16=1,AG15=0),IF(BA15="S","+",1),IF(AND(BA15&lt;&gt;"",BB16&lt;&gt;""),"S","")))</f>
        <v/>
      </c>
      <c r="BB16" t="str">
        <f t="shared" ref="BB16:BB25" si="104">IF(AND(AH16=1,AH15=1),"+",IF(AND(AH16=1,AH15=0),IF(BB15="S","+",1),IF(AND(BB15&lt;&gt;"",BC16&lt;&gt;""),"S","")))</f>
        <v/>
      </c>
      <c r="BC16" t="str">
        <f t="shared" ref="BC16:BC25" si="105">IF(AND(AI16=1,AI15=1),"+",IF(AND(AI16=1,AI15=0),IF(BC15="S","+",1),IF(AND(BC15&lt;&gt;"",BD16&lt;&gt;""),"S","")))</f>
        <v/>
      </c>
      <c r="BD16" t="str">
        <f t="shared" ref="BD16:BD25" si="106">IF(AND(AJ16=1,AJ15=1),"+",IF(AND(AJ16=1,AJ15=0),IF(BD15="S","+",1),IF(AND(BD15&lt;&gt;"",BE16&lt;&gt;""),"S","")))</f>
        <v/>
      </c>
      <c r="BE16" t="str">
        <f t="shared" ref="BE16:BE25" si="107">IF(AND(AK16=1,AK15=1),"+",IF(AND(AK16=1,AK15=0),IF(BE15="S","+",1),IF(AND(BE15&lt;&gt;"",BF16&lt;&gt;""),"S","")))</f>
        <v/>
      </c>
      <c r="BF16" t="str">
        <f t="shared" ref="BF16:BF25" si="108">IF(AND(AL16=1,AL15=1),"+",IF(AND(AL16=1,AL15=0),IF(BF15="S","+",1),IF(AND(BF15&lt;&gt;"",BG16&lt;&gt;""),"S","")))</f>
        <v/>
      </c>
      <c r="BG16" t="str">
        <f t="shared" ref="BG16:BG25" si="109">IF(AND(AM16=1,AM15=1),"+",IF(AND(AM16=1,AM15=0),IF(BG15="S","+",1),IF(AND(BG15&lt;&gt;"",BH16&lt;&gt;""),"S","")))</f>
        <v/>
      </c>
      <c r="BH16" t="str">
        <f t="shared" ref="BH16:BH25" si="110">IF(AND(AN16=1,AN15=1),"+",IF(AND(AN16=1,AN15=0),IF(BH15="S","+",1),IF(AND(BH15&lt;&gt;"",BI16&lt;&gt;""),"S","")))</f>
        <v/>
      </c>
      <c r="BI16" t="str">
        <f t="shared" ref="BI16:BI25" si="111">IF(AND(AO16=1,AO15=1),"+",IF(AND(AO16=1,AO15=0),IF(BI15="S","+",1),IF(AND(BI15&lt;&gt;"",BJ16&lt;&gt;""),"S","")))</f>
        <v/>
      </c>
      <c r="BK16">
        <f t="shared" si="48"/>
        <v>1</v>
      </c>
      <c r="BL16">
        <f t="shared" si="49"/>
        <v>2</v>
      </c>
      <c r="BM16">
        <f t="shared" si="50"/>
        <v>1</v>
      </c>
      <c r="BN16">
        <f t="shared" si="51"/>
        <v>0</v>
      </c>
      <c r="BO16">
        <f t="shared" si="52"/>
        <v>0</v>
      </c>
      <c r="BP16">
        <f t="shared" si="53"/>
        <v>0</v>
      </c>
      <c r="BQ16">
        <f t="shared" si="54"/>
        <v>0</v>
      </c>
      <c r="BR16">
        <f t="shared" si="55"/>
        <v>0</v>
      </c>
      <c r="BS16">
        <f t="shared" si="56"/>
        <v>0</v>
      </c>
      <c r="BT16">
        <f t="shared" si="57"/>
        <v>0</v>
      </c>
      <c r="BU16">
        <f t="shared" si="58"/>
        <v>0</v>
      </c>
      <c r="BV16">
        <f t="shared" si="59"/>
        <v>0</v>
      </c>
      <c r="BW16">
        <f t="shared" si="60"/>
        <v>0</v>
      </c>
      <c r="BX16">
        <f t="shared" si="61"/>
        <v>0</v>
      </c>
      <c r="BY16">
        <f t="shared" si="62"/>
        <v>0</v>
      </c>
      <c r="BZ16">
        <f t="shared" si="63"/>
        <v>0</v>
      </c>
      <c r="CA16">
        <f t="shared" si="64"/>
        <v>0</v>
      </c>
      <c r="CB16">
        <f t="shared" si="65"/>
        <v>0</v>
      </c>
      <c r="CC16">
        <f t="shared" si="66"/>
        <v>0</v>
      </c>
      <c r="CE16" t="str">
        <f t="shared" si="67"/>
        <v>004</v>
      </c>
      <c r="CF16" t="str">
        <f t="shared" si="68"/>
        <v>00</v>
      </c>
      <c r="CG16" t="str">
        <f t="shared" si="25"/>
        <v>00</v>
      </c>
      <c r="CH16" t="str">
        <f t="shared" si="25"/>
        <v>00</v>
      </c>
      <c r="CI16" t="str">
        <f t="shared" si="69"/>
        <v>01</v>
      </c>
      <c r="CJ16" t="str">
        <f t="shared" si="70"/>
        <v>02</v>
      </c>
      <c r="CK16" t="str">
        <f t="shared" si="71"/>
        <v>01</v>
      </c>
      <c r="CL16" t="str">
        <f t="shared" si="72"/>
        <v>00</v>
      </c>
      <c r="CM16" t="str">
        <f t="shared" si="73"/>
        <v>00</v>
      </c>
      <c r="CN16" t="str">
        <f t="shared" si="74"/>
        <v>00</v>
      </c>
      <c r="CO16" t="str">
        <f t="shared" si="75"/>
        <v>00</v>
      </c>
      <c r="CP16" t="str">
        <f t="shared" si="76"/>
        <v>00</v>
      </c>
      <c r="CQ16" t="str">
        <f t="shared" si="77"/>
        <v>00</v>
      </c>
      <c r="CR16" t="str">
        <f t="shared" si="78"/>
        <v>00</v>
      </c>
      <c r="CS16" t="str">
        <f t="shared" si="79"/>
        <v>00</v>
      </c>
      <c r="CT16" t="str">
        <f t="shared" si="80"/>
        <v>00</v>
      </c>
      <c r="CU16" t="str">
        <f t="shared" si="81"/>
        <v>00</v>
      </c>
      <c r="CV16" t="str">
        <f t="shared" si="82"/>
        <v>00</v>
      </c>
      <c r="CW16" t="str">
        <f t="shared" si="83"/>
        <v>00</v>
      </c>
      <c r="CX16" t="str">
        <f t="shared" si="84"/>
        <v>00</v>
      </c>
      <c r="CY16" t="str">
        <f t="shared" si="85"/>
        <v>00</v>
      </c>
      <c r="CZ16" t="str">
        <f t="shared" si="86"/>
        <v>00</v>
      </c>
      <c r="DA16" t="str">
        <f t="shared" si="87"/>
        <v>00</v>
      </c>
      <c r="DB16" t="str">
        <f t="shared" si="88"/>
        <v>03</v>
      </c>
      <c r="DC16" t="str">
        <f t="shared" si="89"/>
        <v>0102010000000000000000000000000000000003</v>
      </c>
      <c r="DD16" t="str">
        <f t="shared" si="90"/>
        <v>Notification</v>
      </c>
      <c r="DE16" t="s">
        <v>123</v>
      </c>
      <c r="DF16" t="s">
        <v>223</v>
      </c>
      <c r="DG16" t="s">
        <v>224</v>
      </c>
      <c r="DH16" t="s">
        <v>225</v>
      </c>
      <c r="DI16" t="s">
        <v>226</v>
      </c>
      <c r="DJ16" t="s">
        <v>227</v>
      </c>
      <c r="DK16" t="s">
        <v>228</v>
      </c>
      <c r="DL16" t="str">
        <f t="shared" si="91"/>
        <v>004,00,00,00,01,02,01,00,00,00,00,00,00,00,00,00,00,00,00,00,00,00,00,03,0102010000000000000000000000000000000003,Notification,file4,Blk1,Blk2,Blk3,Blk4,Blk5,Blk6</v>
      </c>
    </row>
    <row r="17" spans="2:116" x14ac:dyDescent="0.25">
      <c r="B17">
        <f t="shared" si="92"/>
        <v>5</v>
      </c>
      <c r="E17" t="s">
        <v>17</v>
      </c>
      <c r="W17">
        <f t="shared" si="27"/>
        <v>0</v>
      </c>
      <c r="X17">
        <f t="shared" si="28"/>
        <v>0</v>
      </c>
      <c r="Y17">
        <f t="shared" si="29"/>
        <v>1</v>
      </c>
      <c r="Z17">
        <f t="shared" si="30"/>
        <v>0</v>
      </c>
      <c r="AA17">
        <f t="shared" si="31"/>
        <v>0</v>
      </c>
      <c r="AB17">
        <f t="shared" si="32"/>
        <v>0</v>
      </c>
      <c r="AC17">
        <f t="shared" si="33"/>
        <v>0</v>
      </c>
      <c r="AD17">
        <f t="shared" si="34"/>
        <v>0</v>
      </c>
      <c r="AE17">
        <f t="shared" si="35"/>
        <v>0</v>
      </c>
      <c r="AF17">
        <f t="shared" si="36"/>
        <v>0</v>
      </c>
      <c r="AG17">
        <f t="shared" si="37"/>
        <v>0</v>
      </c>
      <c r="AH17">
        <f t="shared" si="38"/>
        <v>0</v>
      </c>
      <c r="AI17">
        <f t="shared" si="39"/>
        <v>0</v>
      </c>
      <c r="AJ17">
        <f t="shared" si="40"/>
        <v>0</v>
      </c>
      <c r="AK17">
        <f t="shared" si="41"/>
        <v>0</v>
      </c>
      <c r="AL17">
        <f t="shared" si="42"/>
        <v>0</v>
      </c>
      <c r="AM17">
        <f t="shared" si="43"/>
        <v>0</v>
      </c>
      <c r="AN17">
        <f t="shared" si="44"/>
        <v>0</v>
      </c>
      <c r="AO17">
        <f t="shared" si="45"/>
        <v>0</v>
      </c>
      <c r="AP17" s="2" t="str">
        <f t="shared" si="46"/>
        <v/>
      </c>
      <c r="AQ17" t="str">
        <f t="shared" ref="AQ17:AR17" si="112">IF(AND(W17=1,W16=1),"+",IF(AND(W17=1,W16=0),IF(AQ16="S","+",1),IF(AND(AQ16&lt;&gt;"",AR17&lt;&gt;""),"S","")))</f>
        <v>S</v>
      </c>
      <c r="AR17" t="str">
        <f t="shared" si="112"/>
        <v>S</v>
      </c>
      <c r="AS17" t="str">
        <f t="shared" si="95"/>
        <v>+</v>
      </c>
      <c r="AT17" t="str">
        <f t="shared" si="96"/>
        <v/>
      </c>
      <c r="AU17" t="str">
        <f t="shared" si="97"/>
        <v/>
      </c>
      <c r="AV17" t="str">
        <f t="shared" si="98"/>
        <v/>
      </c>
      <c r="AW17" t="str">
        <f t="shared" si="99"/>
        <v/>
      </c>
      <c r="AX17" t="str">
        <f t="shared" si="100"/>
        <v/>
      </c>
      <c r="AY17" t="str">
        <f t="shared" si="101"/>
        <v/>
      </c>
      <c r="AZ17" t="str">
        <f t="shared" si="102"/>
        <v/>
      </c>
      <c r="BA17" t="str">
        <f t="shared" si="103"/>
        <v/>
      </c>
      <c r="BB17" t="str">
        <f t="shared" si="104"/>
        <v/>
      </c>
      <c r="BC17" t="str">
        <f t="shared" si="105"/>
        <v/>
      </c>
      <c r="BD17" t="str">
        <f t="shared" si="106"/>
        <v/>
      </c>
      <c r="BE17" t="str">
        <f t="shared" si="107"/>
        <v/>
      </c>
      <c r="BF17" t="str">
        <f t="shared" si="108"/>
        <v/>
      </c>
      <c r="BG17" t="str">
        <f t="shared" si="109"/>
        <v/>
      </c>
      <c r="BH17" t="str">
        <f t="shared" si="110"/>
        <v/>
      </c>
      <c r="BI17" t="str">
        <f t="shared" si="111"/>
        <v/>
      </c>
      <c r="BK17">
        <f t="shared" si="48"/>
        <v>1</v>
      </c>
      <c r="BL17">
        <f t="shared" si="49"/>
        <v>2</v>
      </c>
      <c r="BM17">
        <f t="shared" si="50"/>
        <v>2</v>
      </c>
      <c r="BN17">
        <f t="shared" si="51"/>
        <v>0</v>
      </c>
      <c r="BO17">
        <f t="shared" si="52"/>
        <v>0</v>
      </c>
      <c r="BP17">
        <f t="shared" si="53"/>
        <v>0</v>
      </c>
      <c r="BQ17">
        <f t="shared" si="54"/>
        <v>0</v>
      </c>
      <c r="BR17">
        <f t="shared" si="55"/>
        <v>0</v>
      </c>
      <c r="BS17">
        <f t="shared" si="56"/>
        <v>0</v>
      </c>
      <c r="BT17">
        <f t="shared" si="57"/>
        <v>0</v>
      </c>
      <c r="BU17">
        <f t="shared" si="58"/>
        <v>0</v>
      </c>
      <c r="BV17">
        <f t="shared" si="59"/>
        <v>0</v>
      </c>
      <c r="BW17">
        <f t="shared" si="60"/>
        <v>0</v>
      </c>
      <c r="BX17">
        <f t="shared" si="61"/>
        <v>0</v>
      </c>
      <c r="BY17">
        <f t="shared" si="62"/>
        <v>0</v>
      </c>
      <c r="BZ17">
        <f t="shared" si="63"/>
        <v>0</v>
      </c>
      <c r="CA17">
        <f t="shared" si="64"/>
        <v>0</v>
      </c>
      <c r="CB17">
        <f t="shared" si="65"/>
        <v>0</v>
      </c>
      <c r="CC17">
        <f t="shared" si="66"/>
        <v>0</v>
      </c>
      <c r="CE17" t="str">
        <f t="shared" si="67"/>
        <v>005</v>
      </c>
      <c r="CF17" t="str">
        <f t="shared" si="68"/>
        <v>00</v>
      </c>
      <c r="CG17" t="str">
        <f t="shared" si="25"/>
        <v>00</v>
      </c>
      <c r="CH17" t="str">
        <f t="shared" si="25"/>
        <v>00</v>
      </c>
      <c r="CI17" t="str">
        <f t="shared" si="69"/>
        <v>01</v>
      </c>
      <c r="CJ17" t="str">
        <f t="shared" si="70"/>
        <v>02</v>
      </c>
      <c r="CK17" t="str">
        <f t="shared" si="71"/>
        <v>02</v>
      </c>
      <c r="CL17" t="str">
        <f t="shared" si="72"/>
        <v>00</v>
      </c>
      <c r="CM17" t="str">
        <f t="shared" si="73"/>
        <v>00</v>
      </c>
      <c r="CN17" t="str">
        <f t="shared" si="74"/>
        <v>00</v>
      </c>
      <c r="CO17" t="str">
        <f t="shared" si="75"/>
        <v>00</v>
      </c>
      <c r="CP17" t="str">
        <f t="shared" si="76"/>
        <v>00</v>
      </c>
      <c r="CQ17" t="str">
        <f t="shared" si="77"/>
        <v>00</v>
      </c>
      <c r="CR17" t="str">
        <f t="shared" si="78"/>
        <v>00</v>
      </c>
      <c r="CS17" t="str">
        <f t="shared" si="79"/>
        <v>00</v>
      </c>
      <c r="CT17" t="str">
        <f t="shared" si="80"/>
        <v>00</v>
      </c>
      <c r="CU17" t="str">
        <f t="shared" si="81"/>
        <v>00</v>
      </c>
      <c r="CV17" t="str">
        <f t="shared" si="82"/>
        <v>00</v>
      </c>
      <c r="CW17" t="str">
        <f t="shared" si="83"/>
        <v>00</v>
      </c>
      <c r="CX17" t="str">
        <f t="shared" si="84"/>
        <v>00</v>
      </c>
      <c r="CY17" t="str">
        <f t="shared" si="85"/>
        <v>00</v>
      </c>
      <c r="CZ17" t="str">
        <f t="shared" si="86"/>
        <v>00</v>
      </c>
      <c r="DA17" t="str">
        <f t="shared" si="87"/>
        <v>00</v>
      </c>
      <c r="DB17" t="str">
        <f t="shared" si="88"/>
        <v>03</v>
      </c>
      <c r="DC17" t="str">
        <f t="shared" si="89"/>
        <v>0102020000000000000000000000000000000003</v>
      </c>
      <c r="DD17" t="str">
        <f t="shared" si="90"/>
        <v>Need Approval</v>
      </c>
      <c r="DE17" t="s">
        <v>124</v>
      </c>
      <c r="DF17" t="s">
        <v>223</v>
      </c>
      <c r="DG17" t="s">
        <v>224</v>
      </c>
      <c r="DH17" t="s">
        <v>225</v>
      </c>
      <c r="DI17" t="s">
        <v>226</v>
      </c>
      <c r="DJ17" t="s">
        <v>227</v>
      </c>
      <c r="DK17" t="s">
        <v>228</v>
      </c>
      <c r="DL17" t="str">
        <f t="shared" si="91"/>
        <v>005,00,00,00,01,02,02,00,00,00,00,00,00,00,00,00,00,00,00,00,00,00,00,03,0102020000000000000000000000000000000003,Need Approval,file5,Blk1,Blk2,Blk3,Blk4,Blk5,Blk6</v>
      </c>
    </row>
    <row r="18" spans="2:116" x14ac:dyDescent="0.25">
      <c r="B18">
        <f t="shared" si="92"/>
        <v>6</v>
      </c>
      <c r="E18" t="s">
        <v>18</v>
      </c>
      <c r="W18">
        <f t="shared" si="27"/>
        <v>0</v>
      </c>
      <c r="X18">
        <f t="shared" si="28"/>
        <v>0</v>
      </c>
      <c r="Y18">
        <f t="shared" si="29"/>
        <v>1</v>
      </c>
      <c r="Z18">
        <f t="shared" si="30"/>
        <v>0</v>
      </c>
      <c r="AA18">
        <f t="shared" si="31"/>
        <v>0</v>
      </c>
      <c r="AB18">
        <f t="shared" si="32"/>
        <v>0</v>
      </c>
      <c r="AC18">
        <f t="shared" si="33"/>
        <v>0</v>
      </c>
      <c r="AD18">
        <f t="shared" si="34"/>
        <v>0</v>
      </c>
      <c r="AE18">
        <f t="shared" si="35"/>
        <v>0</v>
      </c>
      <c r="AF18">
        <f t="shared" si="36"/>
        <v>0</v>
      </c>
      <c r="AG18">
        <f t="shared" si="37"/>
        <v>0</v>
      </c>
      <c r="AH18">
        <f t="shared" si="38"/>
        <v>0</v>
      </c>
      <c r="AI18">
        <f t="shared" si="39"/>
        <v>0</v>
      </c>
      <c r="AJ18">
        <f t="shared" si="40"/>
        <v>0</v>
      </c>
      <c r="AK18">
        <f t="shared" si="41"/>
        <v>0</v>
      </c>
      <c r="AL18">
        <f t="shared" si="42"/>
        <v>0</v>
      </c>
      <c r="AM18">
        <f t="shared" si="43"/>
        <v>0</v>
      </c>
      <c r="AN18">
        <f t="shared" si="44"/>
        <v>0</v>
      </c>
      <c r="AO18">
        <f t="shared" si="45"/>
        <v>0</v>
      </c>
      <c r="AP18" s="2" t="str">
        <f t="shared" si="46"/>
        <v/>
      </c>
      <c r="AQ18" t="str">
        <f t="shared" ref="AQ18:AR18" si="113">IF(AND(W18=1,W17=1),"+",IF(AND(W18=1,W17=0),IF(AQ17="S","+",1),IF(AND(AQ17&lt;&gt;"",AR18&lt;&gt;""),"S","")))</f>
        <v>S</v>
      </c>
      <c r="AR18" t="str">
        <f t="shared" si="113"/>
        <v>S</v>
      </c>
      <c r="AS18" t="str">
        <f t="shared" si="95"/>
        <v>+</v>
      </c>
      <c r="AT18" t="str">
        <f t="shared" si="96"/>
        <v/>
      </c>
      <c r="AU18" t="str">
        <f t="shared" si="97"/>
        <v/>
      </c>
      <c r="AV18" t="str">
        <f t="shared" si="98"/>
        <v/>
      </c>
      <c r="AW18" t="str">
        <f t="shared" si="99"/>
        <v/>
      </c>
      <c r="AX18" t="str">
        <f t="shared" si="100"/>
        <v/>
      </c>
      <c r="AY18" t="str">
        <f t="shared" si="101"/>
        <v/>
      </c>
      <c r="AZ18" t="str">
        <f t="shared" si="102"/>
        <v/>
      </c>
      <c r="BA18" t="str">
        <f t="shared" si="103"/>
        <v/>
      </c>
      <c r="BB18" t="str">
        <f t="shared" si="104"/>
        <v/>
      </c>
      <c r="BC18" t="str">
        <f t="shared" si="105"/>
        <v/>
      </c>
      <c r="BD18" t="str">
        <f t="shared" si="106"/>
        <v/>
      </c>
      <c r="BE18" t="str">
        <f t="shared" si="107"/>
        <v/>
      </c>
      <c r="BF18" t="str">
        <f t="shared" si="108"/>
        <v/>
      </c>
      <c r="BG18" t="str">
        <f t="shared" si="109"/>
        <v/>
      </c>
      <c r="BH18" t="str">
        <f t="shared" si="110"/>
        <v/>
      </c>
      <c r="BI18" t="str">
        <f t="shared" si="111"/>
        <v/>
      </c>
      <c r="BK18">
        <f t="shared" si="48"/>
        <v>1</v>
      </c>
      <c r="BL18">
        <f t="shared" si="49"/>
        <v>2</v>
      </c>
      <c r="BM18">
        <f t="shared" si="50"/>
        <v>3</v>
      </c>
      <c r="BN18">
        <f t="shared" si="51"/>
        <v>0</v>
      </c>
      <c r="BO18">
        <f t="shared" si="52"/>
        <v>0</v>
      </c>
      <c r="BP18">
        <f t="shared" si="53"/>
        <v>0</v>
      </c>
      <c r="BQ18">
        <f t="shared" si="54"/>
        <v>0</v>
      </c>
      <c r="BR18">
        <f t="shared" si="55"/>
        <v>0</v>
      </c>
      <c r="BS18">
        <f t="shared" si="56"/>
        <v>0</v>
      </c>
      <c r="BT18">
        <f t="shared" si="57"/>
        <v>0</v>
      </c>
      <c r="BU18">
        <f t="shared" si="58"/>
        <v>0</v>
      </c>
      <c r="BV18">
        <f t="shared" si="59"/>
        <v>0</v>
      </c>
      <c r="BW18">
        <f t="shared" si="60"/>
        <v>0</v>
      </c>
      <c r="BX18">
        <f t="shared" si="61"/>
        <v>0</v>
      </c>
      <c r="BY18">
        <f t="shared" si="62"/>
        <v>0</v>
      </c>
      <c r="BZ18">
        <f t="shared" si="63"/>
        <v>0</v>
      </c>
      <c r="CA18">
        <f t="shared" si="64"/>
        <v>0</v>
      </c>
      <c r="CB18">
        <f t="shared" si="65"/>
        <v>0</v>
      </c>
      <c r="CC18">
        <f t="shared" si="66"/>
        <v>0</v>
      </c>
      <c r="CE18" t="str">
        <f t="shared" si="67"/>
        <v>006</v>
      </c>
      <c r="CF18" t="str">
        <f t="shared" si="68"/>
        <v>00</v>
      </c>
      <c r="CG18" t="str">
        <f t="shared" si="25"/>
        <v>00</v>
      </c>
      <c r="CH18" t="str">
        <f t="shared" si="25"/>
        <v>00</v>
      </c>
      <c r="CI18" t="str">
        <f t="shared" si="69"/>
        <v>01</v>
      </c>
      <c r="CJ18" t="str">
        <f t="shared" si="70"/>
        <v>02</v>
      </c>
      <c r="CK18" t="str">
        <f t="shared" si="71"/>
        <v>03</v>
      </c>
      <c r="CL18" t="str">
        <f t="shared" si="72"/>
        <v>00</v>
      </c>
      <c r="CM18" t="str">
        <f t="shared" si="73"/>
        <v>00</v>
      </c>
      <c r="CN18" t="str">
        <f t="shared" si="74"/>
        <v>00</v>
      </c>
      <c r="CO18" t="str">
        <f t="shared" si="75"/>
        <v>00</v>
      </c>
      <c r="CP18" t="str">
        <f t="shared" si="76"/>
        <v>00</v>
      </c>
      <c r="CQ18" t="str">
        <f t="shared" si="77"/>
        <v>00</v>
      </c>
      <c r="CR18" t="str">
        <f t="shared" si="78"/>
        <v>00</v>
      </c>
      <c r="CS18" t="str">
        <f t="shared" si="79"/>
        <v>00</v>
      </c>
      <c r="CT18" t="str">
        <f t="shared" si="80"/>
        <v>00</v>
      </c>
      <c r="CU18" t="str">
        <f t="shared" si="81"/>
        <v>00</v>
      </c>
      <c r="CV18" t="str">
        <f t="shared" si="82"/>
        <v>00</v>
      </c>
      <c r="CW18" t="str">
        <f t="shared" si="83"/>
        <v>00</v>
      </c>
      <c r="CX18" t="str">
        <f t="shared" si="84"/>
        <v>00</v>
      </c>
      <c r="CY18" t="str">
        <f t="shared" si="85"/>
        <v>00</v>
      </c>
      <c r="CZ18" t="str">
        <f t="shared" si="86"/>
        <v>00</v>
      </c>
      <c r="DA18" t="str">
        <f t="shared" si="87"/>
        <v>00</v>
      </c>
      <c r="DB18" t="str">
        <f t="shared" si="88"/>
        <v>03</v>
      </c>
      <c r="DC18" t="str">
        <f t="shared" si="89"/>
        <v>0102030000000000000000000000000000000003</v>
      </c>
      <c r="DD18" t="str">
        <f t="shared" si="90"/>
        <v>This month Approval</v>
      </c>
      <c r="DE18" t="s">
        <v>125</v>
      </c>
      <c r="DF18" t="s">
        <v>223</v>
      </c>
      <c r="DG18" t="s">
        <v>224</v>
      </c>
      <c r="DH18" t="s">
        <v>225</v>
      </c>
      <c r="DI18" t="s">
        <v>226</v>
      </c>
      <c r="DJ18" t="s">
        <v>227</v>
      </c>
      <c r="DK18" t="s">
        <v>228</v>
      </c>
      <c r="DL18" t="str">
        <f t="shared" si="91"/>
        <v>006,00,00,00,01,02,03,00,00,00,00,00,00,00,00,00,00,00,00,00,00,00,00,03,0102030000000000000000000000000000000003,This month Approval,file6,Blk1,Blk2,Blk3,Blk4,Blk5,Blk6</v>
      </c>
    </row>
    <row r="19" spans="2:116" x14ac:dyDescent="0.25">
      <c r="B19">
        <f t="shared" si="92"/>
        <v>7</v>
      </c>
      <c r="D19" t="s">
        <v>19</v>
      </c>
      <c r="W19">
        <f t="shared" si="27"/>
        <v>0</v>
      </c>
      <c r="X19">
        <f t="shared" si="28"/>
        <v>1</v>
      </c>
      <c r="Y19">
        <f t="shared" si="29"/>
        <v>0</v>
      </c>
      <c r="Z19">
        <f t="shared" si="30"/>
        <v>0</v>
      </c>
      <c r="AA19">
        <f t="shared" si="31"/>
        <v>0</v>
      </c>
      <c r="AB19">
        <f t="shared" si="32"/>
        <v>0</v>
      </c>
      <c r="AC19">
        <f t="shared" si="33"/>
        <v>0</v>
      </c>
      <c r="AD19">
        <f t="shared" si="34"/>
        <v>0</v>
      </c>
      <c r="AE19">
        <f t="shared" si="35"/>
        <v>0</v>
      </c>
      <c r="AF19">
        <f t="shared" si="36"/>
        <v>0</v>
      </c>
      <c r="AG19">
        <f t="shared" si="37"/>
        <v>0</v>
      </c>
      <c r="AH19">
        <f t="shared" si="38"/>
        <v>0</v>
      </c>
      <c r="AI19">
        <f t="shared" si="39"/>
        <v>0</v>
      </c>
      <c r="AJ19">
        <f t="shared" si="40"/>
        <v>0</v>
      </c>
      <c r="AK19">
        <f t="shared" si="41"/>
        <v>0</v>
      </c>
      <c r="AL19">
        <f t="shared" si="42"/>
        <v>0</v>
      </c>
      <c r="AM19">
        <f t="shared" si="43"/>
        <v>0</v>
      </c>
      <c r="AN19">
        <f t="shared" si="44"/>
        <v>0</v>
      </c>
      <c r="AO19">
        <f t="shared" si="45"/>
        <v>0</v>
      </c>
      <c r="AP19" s="2" t="str">
        <f t="shared" si="46"/>
        <v/>
      </c>
      <c r="AQ19" t="str">
        <f t="shared" ref="AQ19:AR19" si="114">IF(AND(W19=1,W18=1),"+",IF(AND(W19=1,W18=0),IF(AQ18="S","+",1),IF(AND(AQ18&lt;&gt;"",AR19&lt;&gt;""),"S","")))</f>
        <v>S</v>
      </c>
      <c r="AR19" t="str">
        <f t="shared" si="114"/>
        <v>+</v>
      </c>
      <c r="AS19" t="str">
        <f t="shared" si="95"/>
        <v/>
      </c>
      <c r="AT19" t="str">
        <f t="shared" si="96"/>
        <v/>
      </c>
      <c r="AU19" t="str">
        <f t="shared" si="97"/>
        <v/>
      </c>
      <c r="AV19" t="str">
        <f t="shared" si="98"/>
        <v/>
      </c>
      <c r="AW19" t="str">
        <f t="shared" si="99"/>
        <v/>
      </c>
      <c r="AX19" t="str">
        <f t="shared" si="100"/>
        <v/>
      </c>
      <c r="AY19" t="str">
        <f t="shared" si="101"/>
        <v/>
      </c>
      <c r="AZ19" t="str">
        <f t="shared" si="102"/>
        <v/>
      </c>
      <c r="BA19" t="str">
        <f t="shared" si="103"/>
        <v/>
      </c>
      <c r="BB19" t="str">
        <f t="shared" si="104"/>
        <v/>
      </c>
      <c r="BC19" t="str">
        <f t="shared" si="105"/>
        <v/>
      </c>
      <c r="BD19" t="str">
        <f t="shared" si="106"/>
        <v/>
      </c>
      <c r="BE19" t="str">
        <f t="shared" si="107"/>
        <v/>
      </c>
      <c r="BF19" t="str">
        <f t="shared" si="108"/>
        <v/>
      </c>
      <c r="BG19" t="str">
        <f t="shared" si="109"/>
        <v/>
      </c>
      <c r="BH19" t="str">
        <f t="shared" si="110"/>
        <v/>
      </c>
      <c r="BI19" t="str">
        <f t="shared" si="111"/>
        <v/>
      </c>
      <c r="BK19">
        <f t="shared" si="48"/>
        <v>1</v>
      </c>
      <c r="BL19">
        <f t="shared" si="49"/>
        <v>3</v>
      </c>
      <c r="BM19">
        <f t="shared" si="50"/>
        <v>0</v>
      </c>
      <c r="BN19">
        <f t="shared" si="51"/>
        <v>0</v>
      </c>
      <c r="BO19">
        <f t="shared" si="52"/>
        <v>0</v>
      </c>
      <c r="BP19">
        <f t="shared" si="53"/>
        <v>0</v>
      </c>
      <c r="BQ19">
        <f t="shared" si="54"/>
        <v>0</v>
      </c>
      <c r="BR19">
        <f t="shared" si="55"/>
        <v>0</v>
      </c>
      <c r="BS19">
        <f t="shared" si="56"/>
        <v>0</v>
      </c>
      <c r="BT19">
        <f t="shared" si="57"/>
        <v>0</v>
      </c>
      <c r="BU19">
        <f t="shared" si="58"/>
        <v>0</v>
      </c>
      <c r="BV19">
        <f t="shared" si="59"/>
        <v>0</v>
      </c>
      <c r="BW19">
        <f t="shared" si="60"/>
        <v>0</v>
      </c>
      <c r="BX19">
        <f t="shared" si="61"/>
        <v>0</v>
      </c>
      <c r="BY19">
        <f t="shared" si="62"/>
        <v>0</v>
      </c>
      <c r="BZ19">
        <f t="shared" si="63"/>
        <v>0</v>
      </c>
      <c r="CA19">
        <f t="shared" si="64"/>
        <v>0</v>
      </c>
      <c r="CB19">
        <f t="shared" si="65"/>
        <v>0</v>
      </c>
      <c r="CC19">
        <f t="shared" si="66"/>
        <v>0</v>
      </c>
      <c r="CE19" t="str">
        <f t="shared" si="67"/>
        <v>007</v>
      </c>
      <c r="CF19" t="str">
        <f t="shared" si="68"/>
        <v>00</v>
      </c>
      <c r="CG19" t="str">
        <f t="shared" si="25"/>
        <v>00</v>
      </c>
      <c r="CH19" t="str">
        <f t="shared" si="25"/>
        <v>00</v>
      </c>
      <c r="CI19" t="str">
        <f t="shared" si="69"/>
        <v>01</v>
      </c>
      <c r="CJ19" t="str">
        <f t="shared" si="70"/>
        <v>03</v>
      </c>
      <c r="CK19" t="str">
        <f t="shared" si="71"/>
        <v>00</v>
      </c>
      <c r="CL19" t="str">
        <f t="shared" si="72"/>
        <v>00</v>
      </c>
      <c r="CM19" t="str">
        <f t="shared" si="73"/>
        <v>00</v>
      </c>
      <c r="CN19" t="str">
        <f t="shared" si="74"/>
        <v>00</v>
      </c>
      <c r="CO19" t="str">
        <f t="shared" si="75"/>
        <v>00</v>
      </c>
      <c r="CP19" t="str">
        <f t="shared" si="76"/>
        <v>00</v>
      </c>
      <c r="CQ19" t="str">
        <f t="shared" si="77"/>
        <v>00</v>
      </c>
      <c r="CR19" t="str">
        <f t="shared" si="78"/>
        <v>00</v>
      </c>
      <c r="CS19" t="str">
        <f t="shared" si="79"/>
        <v>00</v>
      </c>
      <c r="CT19" t="str">
        <f t="shared" si="80"/>
        <v>00</v>
      </c>
      <c r="CU19" t="str">
        <f t="shared" si="81"/>
        <v>00</v>
      </c>
      <c r="CV19" t="str">
        <f t="shared" si="82"/>
        <v>00</v>
      </c>
      <c r="CW19" t="str">
        <f t="shared" si="83"/>
        <v>00</v>
      </c>
      <c r="CX19" t="str">
        <f t="shared" si="84"/>
        <v>00</v>
      </c>
      <c r="CY19" t="str">
        <f t="shared" si="85"/>
        <v>00</v>
      </c>
      <c r="CZ19" t="str">
        <f t="shared" si="86"/>
        <v>00</v>
      </c>
      <c r="DA19" t="str">
        <f t="shared" si="87"/>
        <v>00</v>
      </c>
      <c r="DB19" t="str">
        <f t="shared" si="88"/>
        <v>02</v>
      </c>
      <c r="DC19" t="str">
        <f t="shared" si="89"/>
        <v>0103000000000000000000000000000000000002</v>
      </c>
      <c r="DD19" t="str">
        <f t="shared" si="90"/>
        <v>List of items</v>
      </c>
      <c r="DE19" t="s">
        <v>126</v>
      </c>
      <c r="DF19" t="s">
        <v>223</v>
      </c>
      <c r="DG19" t="s">
        <v>224</v>
      </c>
      <c r="DH19" t="s">
        <v>225</v>
      </c>
      <c r="DI19" t="s">
        <v>226</v>
      </c>
      <c r="DJ19" t="s">
        <v>227</v>
      </c>
      <c r="DK19" t="s">
        <v>228</v>
      </c>
      <c r="DL19" t="str">
        <f t="shared" si="91"/>
        <v>007,00,00,00,01,03,00,00,00,00,00,00,00,00,00,00,00,00,00,00,00,00,00,02,0103000000000000000000000000000000000002,List of items,file7,Blk1,Blk2,Blk3,Blk4,Blk5,Blk6</v>
      </c>
    </row>
    <row r="20" spans="2:116" x14ac:dyDescent="0.25">
      <c r="B20">
        <f t="shared" si="92"/>
        <v>8</v>
      </c>
      <c r="E20" t="s">
        <v>20</v>
      </c>
      <c r="W20">
        <f t="shared" ref="W20:W83" si="115">IF(C20&lt;&gt;"",1,0)</f>
        <v>0</v>
      </c>
      <c r="X20">
        <f t="shared" ref="X20:X83" si="116">IF(D20&lt;&gt;"",1,0)</f>
        <v>0</v>
      </c>
      <c r="Y20">
        <f t="shared" ref="Y20:Y83" si="117">IF(E20&lt;&gt;"",1,0)</f>
        <v>1</v>
      </c>
      <c r="Z20">
        <f t="shared" ref="Z20:Z83" si="118">IF(F20&lt;&gt;"",1,0)</f>
        <v>0</v>
      </c>
      <c r="AA20">
        <f t="shared" ref="AA20:AA83" si="119">IF(G20&lt;&gt;"",1,0)</f>
        <v>0</v>
      </c>
      <c r="AB20">
        <f t="shared" ref="AB20:AB83" si="120">IF(H20&lt;&gt;"",1,0)</f>
        <v>0</v>
      </c>
      <c r="AC20">
        <f t="shared" ref="AC20:AC83" si="121">IF(I20&lt;&gt;"",1,0)</f>
        <v>0</v>
      </c>
      <c r="AD20">
        <f t="shared" ref="AD20:AD83" si="122">IF(J20&lt;&gt;"",1,0)</f>
        <v>0</v>
      </c>
      <c r="AE20">
        <f t="shared" ref="AE20:AE83" si="123">IF(K20&lt;&gt;"",1,0)</f>
        <v>0</v>
      </c>
      <c r="AF20">
        <f t="shared" ref="AF20:AF83" si="124">IF(L20&lt;&gt;"",1,0)</f>
        <v>0</v>
      </c>
      <c r="AG20">
        <f t="shared" ref="AG20:AG83" si="125">IF(M20&lt;&gt;"",1,0)</f>
        <v>0</v>
      </c>
      <c r="AH20">
        <f t="shared" ref="AH20:AH83" si="126">IF(N20&lt;&gt;"",1,0)</f>
        <v>0</v>
      </c>
      <c r="AI20">
        <f t="shared" ref="AI20:AI83" si="127">IF(O20&lt;&gt;"",1,0)</f>
        <v>0</v>
      </c>
      <c r="AJ20">
        <f t="shared" ref="AJ20:AJ83" si="128">IF(P20&lt;&gt;"",1,0)</f>
        <v>0</v>
      </c>
      <c r="AK20">
        <f t="shared" ref="AK20:AK83" si="129">IF(Q20&lt;&gt;"",1,0)</f>
        <v>0</v>
      </c>
      <c r="AL20">
        <f t="shared" ref="AL20:AL83" si="130">IF(R20&lt;&gt;"",1,0)</f>
        <v>0</v>
      </c>
      <c r="AM20">
        <f t="shared" ref="AM20:AM83" si="131">IF(S20&lt;&gt;"",1,0)</f>
        <v>0</v>
      </c>
      <c r="AN20">
        <f t="shared" ref="AN20:AN83" si="132">IF(T20&lt;&gt;"",1,0)</f>
        <v>0</v>
      </c>
      <c r="AO20">
        <f t="shared" ref="AO20:AO83" si="133">IF(U20&lt;&gt;"",1,0)</f>
        <v>0</v>
      </c>
      <c r="AP20" s="2" t="str">
        <f t="shared" si="46"/>
        <v/>
      </c>
      <c r="AQ20" t="str">
        <f t="shared" ref="AQ20:AR20" si="134">IF(AND(W20=1,W19=1),"+",IF(AND(W20=1,W19=0),IF(AQ19="S","+",1),IF(AND(AQ19&lt;&gt;"",AR20&lt;&gt;""),"S","")))</f>
        <v>S</v>
      </c>
      <c r="AR20" t="str">
        <f t="shared" si="134"/>
        <v>S</v>
      </c>
      <c r="AS20">
        <f t="shared" si="95"/>
        <v>1</v>
      </c>
      <c r="AT20" t="str">
        <f t="shared" si="96"/>
        <v/>
      </c>
      <c r="AU20" t="str">
        <f t="shared" si="97"/>
        <v/>
      </c>
      <c r="AV20" t="str">
        <f t="shared" si="98"/>
        <v/>
      </c>
      <c r="AW20" t="str">
        <f t="shared" si="99"/>
        <v/>
      </c>
      <c r="AX20" t="str">
        <f t="shared" si="100"/>
        <v/>
      </c>
      <c r="AY20" t="str">
        <f t="shared" si="101"/>
        <v/>
      </c>
      <c r="AZ20" t="str">
        <f t="shared" si="102"/>
        <v/>
      </c>
      <c r="BA20" t="str">
        <f t="shared" si="103"/>
        <v/>
      </c>
      <c r="BB20" t="str">
        <f t="shared" si="104"/>
        <v/>
      </c>
      <c r="BC20" t="str">
        <f t="shared" si="105"/>
        <v/>
      </c>
      <c r="BD20" t="str">
        <f t="shared" si="106"/>
        <v/>
      </c>
      <c r="BE20" t="str">
        <f t="shared" si="107"/>
        <v/>
      </c>
      <c r="BF20" t="str">
        <f t="shared" si="108"/>
        <v/>
      </c>
      <c r="BG20" t="str">
        <f t="shared" si="109"/>
        <v/>
      </c>
      <c r="BH20" t="str">
        <f t="shared" si="110"/>
        <v/>
      </c>
      <c r="BI20" t="str">
        <f t="shared" si="111"/>
        <v/>
      </c>
      <c r="BK20">
        <f t="shared" si="48"/>
        <v>1</v>
      </c>
      <c r="BL20">
        <f t="shared" si="49"/>
        <v>3</v>
      </c>
      <c r="BM20">
        <f t="shared" si="50"/>
        <v>1</v>
      </c>
      <c r="BN20">
        <f t="shared" si="51"/>
        <v>0</v>
      </c>
      <c r="BO20">
        <f t="shared" si="52"/>
        <v>0</v>
      </c>
      <c r="BP20">
        <f t="shared" si="53"/>
        <v>0</v>
      </c>
      <c r="BQ20">
        <f t="shared" si="54"/>
        <v>0</v>
      </c>
      <c r="BR20">
        <f t="shared" si="55"/>
        <v>0</v>
      </c>
      <c r="BS20">
        <f t="shared" si="56"/>
        <v>0</v>
      </c>
      <c r="BT20">
        <f t="shared" si="57"/>
        <v>0</v>
      </c>
      <c r="BU20">
        <f t="shared" si="58"/>
        <v>0</v>
      </c>
      <c r="BV20">
        <f t="shared" si="59"/>
        <v>0</v>
      </c>
      <c r="BW20">
        <f t="shared" si="60"/>
        <v>0</v>
      </c>
      <c r="BX20">
        <f t="shared" si="61"/>
        <v>0</v>
      </c>
      <c r="BY20">
        <f t="shared" si="62"/>
        <v>0</v>
      </c>
      <c r="BZ20">
        <f t="shared" si="63"/>
        <v>0</v>
      </c>
      <c r="CA20">
        <f t="shared" si="64"/>
        <v>0</v>
      </c>
      <c r="CB20">
        <f t="shared" si="65"/>
        <v>0</v>
      </c>
      <c r="CC20">
        <f t="shared" si="66"/>
        <v>0</v>
      </c>
      <c r="CE20" t="str">
        <f t="shared" si="67"/>
        <v>008</v>
      </c>
      <c r="CF20" t="str">
        <f t="shared" si="68"/>
        <v>00</v>
      </c>
      <c r="CG20" t="str">
        <f t="shared" si="25"/>
        <v>00</v>
      </c>
      <c r="CH20" t="str">
        <f t="shared" si="25"/>
        <v>00</v>
      </c>
      <c r="CI20" t="str">
        <f t="shared" si="69"/>
        <v>01</v>
      </c>
      <c r="CJ20" t="str">
        <f t="shared" si="70"/>
        <v>03</v>
      </c>
      <c r="CK20" t="str">
        <f t="shared" si="71"/>
        <v>01</v>
      </c>
      <c r="CL20" t="str">
        <f t="shared" si="72"/>
        <v>00</v>
      </c>
      <c r="CM20" t="str">
        <f t="shared" si="73"/>
        <v>00</v>
      </c>
      <c r="CN20" t="str">
        <f t="shared" si="74"/>
        <v>00</v>
      </c>
      <c r="CO20" t="str">
        <f t="shared" si="75"/>
        <v>00</v>
      </c>
      <c r="CP20" t="str">
        <f t="shared" si="76"/>
        <v>00</v>
      </c>
      <c r="CQ20" t="str">
        <f t="shared" si="77"/>
        <v>00</v>
      </c>
      <c r="CR20" t="str">
        <f t="shared" si="78"/>
        <v>00</v>
      </c>
      <c r="CS20" t="str">
        <f t="shared" si="79"/>
        <v>00</v>
      </c>
      <c r="CT20" t="str">
        <f t="shared" si="80"/>
        <v>00</v>
      </c>
      <c r="CU20" t="str">
        <f t="shared" si="81"/>
        <v>00</v>
      </c>
      <c r="CV20" t="str">
        <f t="shared" si="82"/>
        <v>00</v>
      </c>
      <c r="CW20" t="str">
        <f t="shared" si="83"/>
        <v>00</v>
      </c>
      <c r="CX20" t="str">
        <f t="shared" si="84"/>
        <v>00</v>
      </c>
      <c r="CY20" t="str">
        <f t="shared" si="85"/>
        <v>00</v>
      </c>
      <c r="CZ20" t="str">
        <f t="shared" si="86"/>
        <v>00</v>
      </c>
      <c r="DA20" t="str">
        <f t="shared" si="87"/>
        <v>00</v>
      </c>
      <c r="DB20" t="str">
        <f t="shared" si="88"/>
        <v>03</v>
      </c>
      <c r="DC20" t="str">
        <f t="shared" si="89"/>
        <v>0103010000000000000000000000000000000003</v>
      </c>
      <c r="DD20" t="str">
        <f t="shared" si="90"/>
        <v>Item to dispose</v>
      </c>
      <c r="DE20" t="s">
        <v>127</v>
      </c>
      <c r="DF20" t="s">
        <v>223</v>
      </c>
      <c r="DG20" t="s">
        <v>224</v>
      </c>
      <c r="DH20" t="s">
        <v>225</v>
      </c>
      <c r="DI20" t="s">
        <v>226</v>
      </c>
      <c r="DJ20" t="s">
        <v>227</v>
      </c>
      <c r="DK20" t="s">
        <v>228</v>
      </c>
      <c r="DL20" t="str">
        <f t="shared" si="91"/>
        <v>008,00,00,00,01,03,01,00,00,00,00,00,00,00,00,00,00,00,00,00,00,00,00,03,0103010000000000000000000000000000000003,Item to dispose,file8,Blk1,Blk2,Blk3,Blk4,Blk5,Blk6</v>
      </c>
    </row>
    <row r="21" spans="2:116" x14ac:dyDescent="0.25">
      <c r="B21">
        <f t="shared" si="92"/>
        <v>9</v>
      </c>
      <c r="F21" t="s">
        <v>30</v>
      </c>
      <c r="W21">
        <f t="shared" si="115"/>
        <v>0</v>
      </c>
      <c r="X21">
        <f t="shared" si="116"/>
        <v>0</v>
      </c>
      <c r="Y21">
        <f t="shared" si="117"/>
        <v>0</v>
      </c>
      <c r="Z21">
        <f t="shared" si="118"/>
        <v>1</v>
      </c>
      <c r="AA21">
        <f t="shared" si="119"/>
        <v>0</v>
      </c>
      <c r="AB21">
        <f t="shared" si="120"/>
        <v>0</v>
      </c>
      <c r="AC21">
        <f t="shared" si="121"/>
        <v>0</v>
      </c>
      <c r="AD21">
        <f t="shared" si="122"/>
        <v>0</v>
      </c>
      <c r="AE21">
        <f t="shared" si="123"/>
        <v>0</v>
      </c>
      <c r="AF21">
        <f t="shared" si="124"/>
        <v>0</v>
      </c>
      <c r="AG21">
        <f t="shared" si="125"/>
        <v>0</v>
      </c>
      <c r="AH21">
        <f t="shared" si="126"/>
        <v>0</v>
      </c>
      <c r="AI21">
        <f t="shared" si="127"/>
        <v>0</v>
      </c>
      <c r="AJ21">
        <f t="shared" si="128"/>
        <v>0</v>
      </c>
      <c r="AK21">
        <f t="shared" si="129"/>
        <v>0</v>
      </c>
      <c r="AL21">
        <f t="shared" si="130"/>
        <v>0</v>
      </c>
      <c r="AM21">
        <f t="shared" si="131"/>
        <v>0</v>
      </c>
      <c r="AN21">
        <f t="shared" si="132"/>
        <v>0</v>
      </c>
      <c r="AO21">
        <f t="shared" si="133"/>
        <v>0</v>
      </c>
      <c r="AP21" s="2" t="str">
        <f t="shared" si="46"/>
        <v/>
      </c>
      <c r="AQ21" t="str">
        <f t="shared" ref="AQ21:AR21" si="135">IF(AND(W21=1,W20=1),"+",IF(AND(W21=1,W20=0),IF(AQ20="S","+",1),IF(AND(AQ20&lt;&gt;"",AR21&lt;&gt;""),"S","")))</f>
        <v>S</v>
      </c>
      <c r="AR21" t="str">
        <f t="shared" si="135"/>
        <v>S</v>
      </c>
      <c r="AS21" t="str">
        <f t="shared" si="95"/>
        <v>S</v>
      </c>
      <c r="AT21">
        <f t="shared" si="96"/>
        <v>1</v>
      </c>
      <c r="AU21" t="str">
        <f t="shared" si="97"/>
        <v/>
      </c>
      <c r="AV21" t="str">
        <f t="shared" si="98"/>
        <v/>
      </c>
      <c r="AW21" t="str">
        <f t="shared" si="99"/>
        <v/>
      </c>
      <c r="AX21" t="str">
        <f t="shared" si="100"/>
        <v/>
      </c>
      <c r="AY21" t="str">
        <f t="shared" si="101"/>
        <v/>
      </c>
      <c r="AZ21" t="str">
        <f t="shared" si="102"/>
        <v/>
      </c>
      <c r="BA21" t="str">
        <f t="shared" si="103"/>
        <v/>
      </c>
      <c r="BB21" t="str">
        <f t="shared" si="104"/>
        <v/>
      </c>
      <c r="BC21" t="str">
        <f t="shared" si="105"/>
        <v/>
      </c>
      <c r="BD21" t="str">
        <f t="shared" si="106"/>
        <v/>
      </c>
      <c r="BE21" t="str">
        <f t="shared" si="107"/>
        <v/>
      </c>
      <c r="BF21" t="str">
        <f t="shared" si="108"/>
        <v/>
      </c>
      <c r="BG21" t="str">
        <f t="shared" si="109"/>
        <v/>
      </c>
      <c r="BH21" t="str">
        <f t="shared" si="110"/>
        <v/>
      </c>
      <c r="BI21" t="str">
        <f t="shared" si="111"/>
        <v/>
      </c>
      <c r="BK21">
        <f t="shared" si="48"/>
        <v>1</v>
      </c>
      <c r="BL21">
        <f t="shared" si="49"/>
        <v>3</v>
      </c>
      <c r="BM21">
        <f t="shared" si="50"/>
        <v>1</v>
      </c>
      <c r="BN21">
        <f t="shared" si="51"/>
        <v>1</v>
      </c>
      <c r="BO21">
        <f t="shared" si="52"/>
        <v>0</v>
      </c>
      <c r="BP21">
        <f t="shared" si="53"/>
        <v>0</v>
      </c>
      <c r="BQ21">
        <f t="shared" si="54"/>
        <v>0</v>
      </c>
      <c r="BR21">
        <f t="shared" si="55"/>
        <v>0</v>
      </c>
      <c r="BS21">
        <f t="shared" si="56"/>
        <v>0</v>
      </c>
      <c r="BT21">
        <f t="shared" si="57"/>
        <v>0</v>
      </c>
      <c r="BU21">
        <f t="shared" si="58"/>
        <v>0</v>
      </c>
      <c r="BV21">
        <f t="shared" si="59"/>
        <v>0</v>
      </c>
      <c r="BW21">
        <f t="shared" si="60"/>
        <v>0</v>
      </c>
      <c r="BX21">
        <f t="shared" si="61"/>
        <v>0</v>
      </c>
      <c r="BY21">
        <f t="shared" si="62"/>
        <v>0</v>
      </c>
      <c r="BZ21">
        <f t="shared" si="63"/>
        <v>0</v>
      </c>
      <c r="CA21">
        <f t="shared" si="64"/>
        <v>0</v>
      </c>
      <c r="CB21">
        <f t="shared" si="65"/>
        <v>0</v>
      </c>
      <c r="CC21">
        <f t="shared" si="66"/>
        <v>0</v>
      </c>
      <c r="CE21" t="str">
        <f t="shared" si="67"/>
        <v>009</v>
      </c>
      <c r="CF21" t="str">
        <f t="shared" si="68"/>
        <v>00</v>
      </c>
      <c r="CG21" t="str">
        <f t="shared" si="25"/>
        <v>00</v>
      </c>
      <c r="CH21" t="str">
        <f t="shared" si="25"/>
        <v>00</v>
      </c>
      <c r="CI21" t="str">
        <f t="shared" si="69"/>
        <v>01</v>
      </c>
      <c r="CJ21" t="str">
        <f t="shared" si="70"/>
        <v>03</v>
      </c>
      <c r="CK21" t="str">
        <f t="shared" si="71"/>
        <v>01</v>
      </c>
      <c r="CL21" t="str">
        <f t="shared" si="72"/>
        <v>01</v>
      </c>
      <c r="CM21" t="str">
        <f t="shared" si="73"/>
        <v>00</v>
      </c>
      <c r="CN21" t="str">
        <f t="shared" si="74"/>
        <v>00</v>
      </c>
      <c r="CO21" t="str">
        <f t="shared" si="75"/>
        <v>00</v>
      </c>
      <c r="CP21" t="str">
        <f t="shared" si="76"/>
        <v>00</v>
      </c>
      <c r="CQ21" t="str">
        <f t="shared" si="77"/>
        <v>00</v>
      </c>
      <c r="CR21" t="str">
        <f t="shared" si="78"/>
        <v>00</v>
      </c>
      <c r="CS21" t="str">
        <f t="shared" si="79"/>
        <v>00</v>
      </c>
      <c r="CT21" t="str">
        <f t="shared" si="80"/>
        <v>00</v>
      </c>
      <c r="CU21" t="str">
        <f t="shared" si="81"/>
        <v>00</v>
      </c>
      <c r="CV21" t="str">
        <f t="shared" si="82"/>
        <v>00</v>
      </c>
      <c r="CW21" t="str">
        <f t="shared" si="83"/>
        <v>00</v>
      </c>
      <c r="CX21" t="str">
        <f t="shared" si="84"/>
        <v>00</v>
      </c>
      <c r="CY21" t="str">
        <f t="shared" si="85"/>
        <v>00</v>
      </c>
      <c r="CZ21" t="str">
        <f t="shared" si="86"/>
        <v>00</v>
      </c>
      <c r="DA21" t="str">
        <f t="shared" si="87"/>
        <v>00</v>
      </c>
      <c r="DB21" t="str">
        <f t="shared" si="88"/>
        <v>04</v>
      </c>
      <c r="DC21" t="str">
        <f t="shared" si="89"/>
        <v>0103010100000000000000000000000000000004</v>
      </c>
      <c r="DD21" t="str">
        <f t="shared" si="90"/>
        <v>Waiting approval</v>
      </c>
      <c r="DE21" t="s">
        <v>128</v>
      </c>
      <c r="DF21" t="s">
        <v>223</v>
      </c>
      <c r="DG21" t="s">
        <v>224</v>
      </c>
      <c r="DH21" t="s">
        <v>225</v>
      </c>
      <c r="DI21" t="s">
        <v>226</v>
      </c>
      <c r="DJ21" t="s">
        <v>227</v>
      </c>
      <c r="DK21" t="s">
        <v>228</v>
      </c>
      <c r="DL21" t="str">
        <f t="shared" si="91"/>
        <v>009,00,00,00,01,03,01,01,00,00,00,00,00,00,00,00,00,00,00,00,00,00,00,04,0103010100000000000000000000000000000004,Waiting approval,file9,Blk1,Blk2,Blk3,Blk4,Blk5,Blk6</v>
      </c>
    </row>
    <row r="22" spans="2:116" x14ac:dyDescent="0.25">
      <c r="B22">
        <f t="shared" si="92"/>
        <v>10</v>
      </c>
      <c r="F22" t="s">
        <v>31</v>
      </c>
      <c r="W22">
        <f t="shared" si="115"/>
        <v>0</v>
      </c>
      <c r="X22">
        <f t="shared" si="116"/>
        <v>0</v>
      </c>
      <c r="Y22">
        <f t="shared" si="117"/>
        <v>0</v>
      </c>
      <c r="Z22">
        <f t="shared" si="118"/>
        <v>1</v>
      </c>
      <c r="AA22">
        <f t="shared" si="119"/>
        <v>0</v>
      </c>
      <c r="AB22">
        <f t="shared" si="120"/>
        <v>0</v>
      </c>
      <c r="AC22">
        <f t="shared" si="121"/>
        <v>0</v>
      </c>
      <c r="AD22">
        <f t="shared" si="122"/>
        <v>0</v>
      </c>
      <c r="AE22">
        <f t="shared" si="123"/>
        <v>0</v>
      </c>
      <c r="AF22">
        <f t="shared" si="124"/>
        <v>0</v>
      </c>
      <c r="AG22">
        <f t="shared" si="125"/>
        <v>0</v>
      </c>
      <c r="AH22">
        <f t="shared" si="126"/>
        <v>0</v>
      </c>
      <c r="AI22">
        <f t="shared" si="127"/>
        <v>0</v>
      </c>
      <c r="AJ22">
        <f t="shared" si="128"/>
        <v>0</v>
      </c>
      <c r="AK22">
        <f t="shared" si="129"/>
        <v>0</v>
      </c>
      <c r="AL22">
        <f t="shared" si="130"/>
        <v>0</v>
      </c>
      <c r="AM22">
        <f t="shared" si="131"/>
        <v>0</v>
      </c>
      <c r="AN22">
        <f t="shared" si="132"/>
        <v>0</v>
      </c>
      <c r="AO22">
        <f t="shared" si="133"/>
        <v>0</v>
      </c>
      <c r="AP22" s="2" t="str">
        <f t="shared" si="46"/>
        <v/>
      </c>
      <c r="AQ22" t="str">
        <f t="shared" ref="AQ22:AR22" si="136">IF(AND(W22=1,W21=1),"+",IF(AND(W22=1,W21=0),IF(AQ21="S","+",1),IF(AND(AQ21&lt;&gt;"",AR22&lt;&gt;""),"S","")))</f>
        <v>S</v>
      </c>
      <c r="AR22" t="str">
        <f t="shared" si="136"/>
        <v>S</v>
      </c>
      <c r="AS22" t="str">
        <f t="shared" si="95"/>
        <v>S</v>
      </c>
      <c r="AT22" t="str">
        <f t="shared" si="96"/>
        <v>+</v>
      </c>
      <c r="AU22" t="str">
        <f t="shared" si="97"/>
        <v/>
      </c>
      <c r="AV22" t="str">
        <f t="shared" si="98"/>
        <v/>
      </c>
      <c r="AW22" t="str">
        <f t="shared" si="99"/>
        <v/>
      </c>
      <c r="AX22" t="str">
        <f t="shared" si="100"/>
        <v/>
      </c>
      <c r="AY22" t="str">
        <f t="shared" si="101"/>
        <v/>
      </c>
      <c r="AZ22" t="str">
        <f t="shared" si="102"/>
        <v/>
      </c>
      <c r="BA22" t="str">
        <f t="shared" si="103"/>
        <v/>
      </c>
      <c r="BB22" t="str">
        <f t="shared" si="104"/>
        <v/>
      </c>
      <c r="BC22" t="str">
        <f t="shared" si="105"/>
        <v/>
      </c>
      <c r="BD22" t="str">
        <f t="shared" si="106"/>
        <v/>
      </c>
      <c r="BE22" t="str">
        <f t="shared" si="107"/>
        <v/>
      </c>
      <c r="BF22" t="str">
        <f t="shared" si="108"/>
        <v/>
      </c>
      <c r="BG22" t="str">
        <f t="shared" si="109"/>
        <v/>
      </c>
      <c r="BH22" t="str">
        <f t="shared" si="110"/>
        <v/>
      </c>
      <c r="BI22" t="str">
        <f t="shared" si="111"/>
        <v/>
      </c>
      <c r="BK22">
        <f t="shared" si="48"/>
        <v>1</v>
      </c>
      <c r="BL22">
        <f t="shared" si="49"/>
        <v>3</v>
      </c>
      <c r="BM22">
        <f t="shared" si="50"/>
        <v>1</v>
      </c>
      <c r="BN22">
        <f t="shared" si="51"/>
        <v>2</v>
      </c>
      <c r="BO22">
        <f t="shared" si="52"/>
        <v>0</v>
      </c>
      <c r="BP22">
        <f t="shared" si="53"/>
        <v>0</v>
      </c>
      <c r="BQ22">
        <f t="shared" si="54"/>
        <v>0</v>
      </c>
      <c r="BR22">
        <f t="shared" si="55"/>
        <v>0</v>
      </c>
      <c r="BS22">
        <f t="shared" si="56"/>
        <v>0</v>
      </c>
      <c r="BT22">
        <f t="shared" si="57"/>
        <v>0</v>
      </c>
      <c r="BU22">
        <f t="shared" si="58"/>
        <v>0</v>
      </c>
      <c r="BV22">
        <f t="shared" si="59"/>
        <v>0</v>
      </c>
      <c r="BW22">
        <f t="shared" si="60"/>
        <v>0</v>
      </c>
      <c r="BX22">
        <f t="shared" si="61"/>
        <v>0</v>
      </c>
      <c r="BY22">
        <f t="shared" si="62"/>
        <v>0</v>
      </c>
      <c r="BZ22">
        <f t="shared" si="63"/>
        <v>0</v>
      </c>
      <c r="CA22">
        <f t="shared" si="64"/>
        <v>0</v>
      </c>
      <c r="CB22">
        <f t="shared" si="65"/>
        <v>0</v>
      </c>
      <c r="CC22">
        <f t="shared" si="66"/>
        <v>0</v>
      </c>
      <c r="CE22" t="str">
        <f t="shared" si="67"/>
        <v>010</v>
      </c>
      <c r="CF22" t="str">
        <f t="shared" si="68"/>
        <v>00</v>
      </c>
      <c r="CG22" t="str">
        <f t="shared" si="25"/>
        <v>00</v>
      </c>
      <c r="CH22" t="str">
        <f t="shared" si="25"/>
        <v>00</v>
      </c>
      <c r="CI22" t="str">
        <f t="shared" si="69"/>
        <v>01</v>
      </c>
      <c r="CJ22" t="str">
        <f t="shared" si="70"/>
        <v>03</v>
      </c>
      <c r="CK22" t="str">
        <f t="shared" si="71"/>
        <v>01</v>
      </c>
      <c r="CL22" t="str">
        <f t="shared" si="72"/>
        <v>02</v>
      </c>
      <c r="CM22" t="str">
        <f t="shared" si="73"/>
        <v>00</v>
      </c>
      <c r="CN22" t="str">
        <f t="shared" si="74"/>
        <v>00</v>
      </c>
      <c r="CO22" t="str">
        <f t="shared" si="75"/>
        <v>00</v>
      </c>
      <c r="CP22" t="str">
        <f t="shared" si="76"/>
        <v>00</v>
      </c>
      <c r="CQ22" t="str">
        <f t="shared" si="77"/>
        <v>00</v>
      </c>
      <c r="CR22" t="str">
        <f t="shared" si="78"/>
        <v>00</v>
      </c>
      <c r="CS22" t="str">
        <f t="shared" si="79"/>
        <v>00</v>
      </c>
      <c r="CT22" t="str">
        <f t="shared" si="80"/>
        <v>00</v>
      </c>
      <c r="CU22" t="str">
        <f t="shared" si="81"/>
        <v>00</v>
      </c>
      <c r="CV22" t="str">
        <f t="shared" si="82"/>
        <v>00</v>
      </c>
      <c r="CW22" t="str">
        <f t="shared" si="83"/>
        <v>00</v>
      </c>
      <c r="CX22" t="str">
        <f t="shared" si="84"/>
        <v>00</v>
      </c>
      <c r="CY22" t="str">
        <f t="shared" si="85"/>
        <v>00</v>
      </c>
      <c r="CZ22" t="str">
        <f t="shared" si="86"/>
        <v>00</v>
      </c>
      <c r="DA22" t="str">
        <f t="shared" si="87"/>
        <v>00</v>
      </c>
      <c r="DB22" t="str">
        <f t="shared" si="88"/>
        <v>04</v>
      </c>
      <c r="DC22" t="str">
        <f t="shared" si="89"/>
        <v>0103010200000000000000000000000000000004</v>
      </c>
      <c r="DD22" t="str">
        <f t="shared" si="90"/>
        <v>Waiting disposal date</v>
      </c>
      <c r="DE22" t="s">
        <v>129</v>
      </c>
      <c r="DF22" t="s">
        <v>223</v>
      </c>
      <c r="DG22" t="s">
        <v>224</v>
      </c>
      <c r="DH22" t="s">
        <v>225</v>
      </c>
      <c r="DI22" t="s">
        <v>226</v>
      </c>
      <c r="DJ22" t="s">
        <v>227</v>
      </c>
      <c r="DK22" t="s">
        <v>228</v>
      </c>
      <c r="DL22" t="str">
        <f t="shared" si="91"/>
        <v>010,00,00,00,01,03,01,02,00,00,00,00,00,00,00,00,00,00,00,00,00,00,00,04,0103010200000000000000000000000000000004,Waiting disposal date,file10,Blk1,Blk2,Blk3,Blk4,Blk5,Blk6</v>
      </c>
    </row>
    <row r="23" spans="2:116" x14ac:dyDescent="0.25">
      <c r="B23">
        <f t="shared" si="92"/>
        <v>11</v>
      </c>
      <c r="E23" t="s">
        <v>21</v>
      </c>
      <c r="W23">
        <f t="shared" si="115"/>
        <v>0</v>
      </c>
      <c r="X23">
        <f t="shared" si="116"/>
        <v>0</v>
      </c>
      <c r="Y23">
        <f t="shared" si="117"/>
        <v>1</v>
      </c>
      <c r="Z23">
        <f t="shared" si="118"/>
        <v>0</v>
      </c>
      <c r="AA23">
        <f t="shared" si="119"/>
        <v>0</v>
      </c>
      <c r="AB23">
        <f t="shared" si="120"/>
        <v>0</v>
      </c>
      <c r="AC23">
        <f t="shared" si="121"/>
        <v>0</v>
      </c>
      <c r="AD23">
        <f t="shared" si="122"/>
        <v>0</v>
      </c>
      <c r="AE23">
        <f t="shared" si="123"/>
        <v>0</v>
      </c>
      <c r="AF23">
        <f t="shared" si="124"/>
        <v>0</v>
      </c>
      <c r="AG23">
        <f t="shared" si="125"/>
        <v>0</v>
      </c>
      <c r="AH23">
        <f t="shared" si="126"/>
        <v>0</v>
      </c>
      <c r="AI23">
        <f t="shared" si="127"/>
        <v>0</v>
      </c>
      <c r="AJ23">
        <f t="shared" si="128"/>
        <v>0</v>
      </c>
      <c r="AK23">
        <f t="shared" si="129"/>
        <v>0</v>
      </c>
      <c r="AL23">
        <f t="shared" si="130"/>
        <v>0</v>
      </c>
      <c r="AM23">
        <f t="shared" si="131"/>
        <v>0</v>
      </c>
      <c r="AN23">
        <f t="shared" si="132"/>
        <v>0</v>
      </c>
      <c r="AO23">
        <f t="shared" si="133"/>
        <v>0</v>
      </c>
      <c r="AP23" s="2" t="str">
        <f t="shared" si="46"/>
        <v/>
      </c>
      <c r="AQ23" t="str">
        <f t="shared" ref="AQ23:AR23" si="137">IF(AND(W23=1,W22=1),"+",IF(AND(W23=1,W22=0),IF(AQ22="S","+",1),IF(AND(AQ22&lt;&gt;"",AR23&lt;&gt;""),"S","")))</f>
        <v>S</v>
      </c>
      <c r="AR23" t="str">
        <f t="shared" si="137"/>
        <v>S</v>
      </c>
      <c r="AS23" t="str">
        <f t="shared" si="95"/>
        <v>+</v>
      </c>
      <c r="AT23" t="str">
        <f t="shared" si="96"/>
        <v/>
      </c>
      <c r="AU23" t="str">
        <f t="shared" si="97"/>
        <v/>
      </c>
      <c r="AV23" t="str">
        <f t="shared" si="98"/>
        <v/>
      </c>
      <c r="AW23" t="str">
        <f t="shared" si="99"/>
        <v/>
      </c>
      <c r="AX23" t="str">
        <f t="shared" si="100"/>
        <v/>
      </c>
      <c r="AY23" t="str">
        <f t="shared" si="101"/>
        <v/>
      </c>
      <c r="AZ23" t="str">
        <f t="shared" si="102"/>
        <v/>
      </c>
      <c r="BA23" t="str">
        <f t="shared" si="103"/>
        <v/>
      </c>
      <c r="BB23" t="str">
        <f t="shared" si="104"/>
        <v/>
      </c>
      <c r="BC23" t="str">
        <f t="shared" si="105"/>
        <v/>
      </c>
      <c r="BD23" t="str">
        <f t="shared" si="106"/>
        <v/>
      </c>
      <c r="BE23" t="str">
        <f t="shared" si="107"/>
        <v/>
      </c>
      <c r="BF23" t="str">
        <f t="shared" si="108"/>
        <v/>
      </c>
      <c r="BG23" t="str">
        <f t="shared" si="109"/>
        <v/>
      </c>
      <c r="BH23" t="str">
        <f t="shared" si="110"/>
        <v/>
      </c>
      <c r="BI23" t="str">
        <f t="shared" si="111"/>
        <v/>
      </c>
      <c r="BK23">
        <f t="shared" si="48"/>
        <v>1</v>
      </c>
      <c r="BL23">
        <f t="shared" si="49"/>
        <v>3</v>
      </c>
      <c r="BM23">
        <f t="shared" si="50"/>
        <v>2</v>
      </c>
      <c r="BN23">
        <f t="shared" si="51"/>
        <v>0</v>
      </c>
      <c r="BO23">
        <f t="shared" si="52"/>
        <v>0</v>
      </c>
      <c r="BP23">
        <f t="shared" si="53"/>
        <v>0</v>
      </c>
      <c r="BQ23">
        <f t="shared" si="54"/>
        <v>0</v>
      </c>
      <c r="BR23">
        <f t="shared" si="55"/>
        <v>0</v>
      </c>
      <c r="BS23">
        <f t="shared" si="56"/>
        <v>0</v>
      </c>
      <c r="BT23">
        <f t="shared" si="57"/>
        <v>0</v>
      </c>
      <c r="BU23">
        <f t="shared" si="58"/>
        <v>0</v>
      </c>
      <c r="BV23">
        <f t="shared" si="59"/>
        <v>0</v>
      </c>
      <c r="BW23">
        <f t="shared" si="60"/>
        <v>0</v>
      </c>
      <c r="BX23">
        <f t="shared" si="61"/>
        <v>0</v>
      </c>
      <c r="BY23">
        <f t="shared" si="62"/>
        <v>0</v>
      </c>
      <c r="BZ23">
        <f t="shared" si="63"/>
        <v>0</v>
      </c>
      <c r="CA23">
        <f t="shared" si="64"/>
        <v>0</v>
      </c>
      <c r="CB23">
        <f t="shared" si="65"/>
        <v>0</v>
      </c>
      <c r="CC23">
        <f t="shared" si="66"/>
        <v>0</v>
      </c>
      <c r="CE23" t="str">
        <f t="shared" si="67"/>
        <v>011</v>
      </c>
      <c r="CF23" t="str">
        <f t="shared" si="68"/>
        <v>00</v>
      </c>
      <c r="CG23" t="str">
        <f t="shared" si="25"/>
        <v>00</v>
      </c>
      <c r="CH23" t="str">
        <f t="shared" si="25"/>
        <v>00</v>
      </c>
      <c r="CI23" t="str">
        <f t="shared" si="69"/>
        <v>01</v>
      </c>
      <c r="CJ23" t="str">
        <f t="shared" si="70"/>
        <v>03</v>
      </c>
      <c r="CK23" t="str">
        <f t="shared" si="71"/>
        <v>02</v>
      </c>
      <c r="CL23" t="str">
        <f t="shared" si="72"/>
        <v>00</v>
      </c>
      <c r="CM23" t="str">
        <f t="shared" si="73"/>
        <v>00</v>
      </c>
      <c r="CN23" t="str">
        <f t="shared" si="74"/>
        <v>00</v>
      </c>
      <c r="CO23" t="str">
        <f t="shared" si="75"/>
        <v>00</v>
      </c>
      <c r="CP23" t="str">
        <f t="shared" si="76"/>
        <v>00</v>
      </c>
      <c r="CQ23" t="str">
        <f t="shared" si="77"/>
        <v>00</v>
      </c>
      <c r="CR23" t="str">
        <f t="shared" si="78"/>
        <v>00</v>
      </c>
      <c r="CS23" t="str">
        <f t="shared" si="79"/>
        <v>00</v>
      </c>
      <c r="CT23" t="str">
        <f t="shared" si="80"/>
        <v>00</v>
      </c>
      <c r="CU23" t="str">
        <f t="shared" si="81"/>
        <v>00</v>
      </c>
      <c r="CV23" t="str">
        <f t="shared" si="82"/>
        <v>00</v>
      </c>
      <c r="CW23" t="str">
        <f t="shared" si="83"/>
        <v>00</v>
      </c>
      <c r="CX23" t="str">
        <f t="shared" si="84"/>
        <v>00</v>
      </c>
      <c r="CY23" t="str">
        <f t="shared" si="85"/>
        <v>00</v>
      </c>
      <c r="CZ23" t="str">
        <f t="shared" si="86"/>
        <v>00</v>
      </c>
      <c r="DA23" t="str">
        <f t="shared" si="87"/>
        <v>00</v>
      </c>
      <c r="DB23" t="str">
        <f t="shared" si="88"/>
        <v>03</v>
      </c>
      <c r="DC23" t="str">
        <f t="shared" si="89"/>
        <v>0103020000000000000000000000000000000003</v>
      </c>
      <c r="DD23" t="str">
        <f t="shared" si="90"/>
        <v>Item to return</v>
      </c>
      <c r="DE23" t="s">
        <v>130</v>
      </c>
      <c r="DF23" t="s">
        <v>223</v>
      </c>
      <c r="DG23" t="s">
        <v>224</v>
      </c>
      <c r="DH23" t="s">
        <v>225</v>
      </c>
      <c r="DI23" t="s">
        <v>226</v>
      </c>
      <c r="DJ23" t="s">
        <v>227</v>
      </c>
      <c r="DK23" t="s">
        <v>228</v>
      </c>
      <c r="DL23" t="str">
        <f t="shared" si="91"/>
        <v>011,00,00,00,01,03,02,00,00,00,00,00,00,00,00,00,00,00,00,00,00,00,00,03,0103020000000000000000000000000000000003,Item to return,file11,Blk1,Blk2,Blk3,Blk4,Blk5,Blk6</v>
      </c>
    </row>
    <row r="24" spans="2:116" x14ac:dyDescent="0.25">
      <c r="B24">
        <f t="shared" si="92"/>
        <v>12</v>
      </c>
      <c r="F24" t="s">
        <v>27</v>
      </c>
      <c r="W24">
        <f t="shared" si="115"/>
        <v>0</v>
      </c>
      <c r="X24">
        <f t="shared" si="116"/>
        <v>0</v>
      </c>
      <c r="Y24">
        <f t="shared" si="117"/>
        <v>0</v>
      </c>
      <c r="Z24">
        <f t="shared" si="118"/>
        <v>1</v>
      </c>
      <c r="AA24">
        <f t="shared" si="119"/>
        <v>0</v>
      </c>
      <c r="AB24">
        <f t="shared" si="120"/>
        <v>0</v>
      </c>
      <c r="AC24">
        <f t="shared" si="121"/>
        <v>0</v>
      </c>
      <c r="AD24">
        <f t="shared" si="122"/>
        <v>0</v>
      </c>
      <c r="AE24">
        <f t="shared" si="123"/>
        <v>0</v>
      </c>
      <c r="AF24">
        <f t="shared" si="124"/>
        <v>0</v>
      </c>
      <c r="AG24">
        <f t="shared" si="125"/>
        <v>0</v>
      </c>
      <c r="AH24">
        <f t="shared" si="126"/>
        <v>0</v>
      </c>
      <c r="AI24">
        <f t="shared" si="127"/>
        <v>0</v>
      </c>
      <c r="AJ24">
        <f t="shared" si="128"/>
        <v>0</v>
      </c>
      <c r="AK24">
        <f t="shared" si="129"/>
        <v>0</v>
      </c>
      <c r="AL24">
        <f t="shared" si="130"/>
        <v>0</v>
      </c>
      <c r="AM24">
        <f t="shared" si="131"/>
        <v>0</v>
      </c>
      <c r="AN24">
        <f t="shared" si="132"/>
        <v>0</v>
      </c>
      <c r="AO24">
        <f t="shared" si="133"/>
        <v>0</v>
      </c>
      <c r="AP24" s="2" t="str">
        <f t="shared" si="46"/>
        <v/>
      </c>
      <c r="AQ24" t="str">
        <f t="shared" ref="AQ24:AR24" si="138">IF(AND(W24=1,W23=1),"+",IF(AND(W24=1,W23=0),IF(AQ23="S","+",1),IF(AND(AQ23&lt;&gt;"",AR24&lt;&gt;""),"S","")))</f>
        <v>S</v>
      </c>
      <c r="AR24" t="str">
        <f t="shared" si="138"/>
        <v>S</v>
      </c>
      <c r="AS24" t="str">
        <f t="shared" si="95"/>
        <v>S</v>
      </c>
      <c r="AT24">
        <f t="shared" si="96"/>
        <v>1</v>
      </c>
      <c r="AU24" t="str">
        <f t="shared" si="97"/>
        <v/>
      </c>
      <c r="AV24" t="str">
        <f t="shared" si="98"/>
        <v/>
      </c>
      <c r="AW24" t="str">
        <f t="shared" si="99"/>
        <v/>
      </c>
      <c r="AX24" t="str">
        <f t="shared" si="100"/>
        <v/>
      </c>
      <c r="AY24" t="str">
        <f t="shared" si="101"/>
        <v/>
      </c>
      <c r="AZ24" t="str">
        <f t="shared" si="102"/>
        <v/>
      </c>
      <c r="BA24" t="str">
        <f t="shared" si="103"/>
        <v/>
      </c>
      <c r="BB24" t="str">
        <f t="shared" si="104"/>
        <v/>
      </c>
      <c r="BC24" t="str">
        <f t="shared" si="105"/>
        <v/>
      </c>
      <c r="BD24" t="str">
        <f t="shared" si="106"/>
        <v/>
      </c>
      <c r="BE24" t="str">
        <f t="shared" si="107"/>
        <v/>
      </c>
      <c r="BF24" t="str">
        <f t="shared" si="108"/>
        <v/>
      </c>
      <c r="BG24" t="str">
        <f t="shared" si="109"/>
        <v/>
      </c>
      <c r="BH24" t="str">
        <f t="shared" si="110"/>
        <v/>
      </c>
      <c r="BI24" t="str">
        <f t="shared" si="111"/>
        <v/>
      </c>
      <c r="BK24">
        <f t="shared" si="48"/>
        <v>1</v>
      </c>
      <c r="BL24">
        <f t="shared" si="49"/>
        <v>3</v>
      </c>
      <c r="BM24">
        <f t="shared" si="50"/>
        <v>2</v>
      </c>
      <c r="BN24">
        <f t="shared" si="51"/>
        <v>1</v>
      </c>
      <c r="BO24">
        <f t="shared" si="52"/>
        <v>0</v>
      </c>
      <c r="BP24">
        <f t="shared" si="53"/>
        <v>0</v>
      </c>
      <c r="BQ24">
        <f t="shared" si="54"/>
        <v>0</v>
      </c>
      <c r="BR24">
        <f t="shared" si="55"/>
        <v>0</v>
      </c>
      <c r="BS24">
        <f t="shared" si="56"/>
        <v>0</v>
      </c>
      <c r="BT24">
        <f t="shared" si="57"/>
        <v>0</v>
      </c>
      <c r="BU24">
        <f t="shared" si="58"/>
        <v>0</v>
      </c>
      <c r="BV24">
        <f t="shared" si="59"/>
        <v>0</v>
      </c>
      <c r="BW24">
        <f t="shared" si="60"/>
        <v>0</v>
      </c>
      <c r="BX24">
        <f t="shared" si="61"/>
        <v>0</v>
      </c>
      <c r="BY24">
        <f t="shared" si="62"/>
        <v>0</v>
      </c>
      <c r="BZ24">
        <f t="shared" si="63"/>
        <v>0</v>
      </c>
      <c r="CA24">
        <f t="shared" si="64"/>
        <v>0</v>
      </c>
      <c r="CB24">
        <f t="shared" si="65"/>
        <v>0</v>
      </c>
      <c r="CC24">
        <f t="shared" si="66"/>
        <v>0</v>
      </c>
      <c r="CE24" t="str">
        <f t="shared" si="67"/>
        <v>012</v>
      </c>
      <c r="CF24" t="str">
        <f t="shared" si="68"/>
        <v>00</v>
      </c>
      <c r="CG24" t="str">
        <f t="shared" si="25"/>
        <v>00</v>
      </c>
      <c r="CH24" t="str">
        <f t="shared" si="25"/>
        <v>00</v>
      </c>
      <c r="CI24" t="str">
        <f t="shared" si="69"/>
        <v>01</v>
      </c>
      <c r="CJ24" t="str">
        <f t="shared" si="70"/>
        <v>03</v>
      </c>
      <c r="CK24" t="str">
        <f t="shared" si="71"/>
        <v>02</v>
      </c>
      <c r="CL24" t="str">
        <f t="shared" si="72"/>
        <v>01</v>
      </c>
      <c r="CM24" t="str">
        <f t="shared" si="73"/>
        <v>00</v>
      </c>
      <c r="CN24" t="str">
        <f t="shared" si="74"/>
        <v>00</v>
      </c>
      <c r="CO24" t="str">
        <f t="shared" si="75"/>
        <v>00</v>
      </c>
      <c r="CP24" t="str">
        <f t="shared" si="76"/>
        <v>00</v>
      </c>
      <c r="CQ24" t="str">
        <f t="shared" si="77"/>
        <v>00</v>
      </c>
      <c r="CR24" t="str">
        <f t="shared" si="78"/>
        <v>00</v>
      </c>
      <c r="CS24" t="str">
        <f t="shared" si="79"/>
        <v>00</v>
      </c>
      <c r="CT24" t="str">
        <f t="shared" si="80"/>
        <v>00</v>
      </c>
      <c r="CU24" t="str">
        <f t="shared" si="81"/>
        <v>00</v>
      </c>
      <c r="CV24" t="str">
        <f t="shared" si="82"/>
        <v>00</v>
      </c>
      <c r="CW24" t="str">
        <f t="shared" si="83"/>
        <v>00</v>
      </c>
      <c r="CX24" t="str">
        <f t="shared" si="84"/>
        <v>00</v>
      </c>
      <c r="CY24" t="str">
        <f t="shared" si="85"/>
        <v>00</v>
      </c>
      <c r="CZ24" t="str">
        <f t="shared" si="86"/>
        <v>00</v>
      </c>
      <c r="DA24" t="str">
        <f t="shared" si="87"/>
        <v>00</v>
      </c>
      <c r="DB24" t="str">
        <f t="shared" si="88"/>
        <v>04</v>
      </c>
      <c r="DC24" t="str">
        <f t="shared" si="89"/>
        <v>0103020100000000000000000000000000000004</v>
      </c>
      <c r="DD24" t="str">
        <f t="shared" si="90"/>
        <v>Return to vendor</v>
      </c>
      <c r="DE24" t="s">
        <v>131</v>
      </c>
      <c r="DF24" t="s">
        <v>223</v>
      </c>
      <c r="DG24" t="s">
        <v>224</v>
      </c>
      <c r="DH24" t="s">
        <v>225</v>
      </c>
      <c r="DI24" t="s">
        <v>226</v>
      </c>
      <c r="DJ24" t="s">
        <v>227</v>
      </c>
      <c r="DK24" t="s">
        <v>228</v>
      </c>
      <c r="DL24" t="str">
        <f t="shared" si="91"/>
        <v>012,00,00,00,01,03,02,01,00,00,00,00,00,00,00,00,00,00,00,00,00,00,00,04,0103020100000000000000000000000000000004,Return to vendor,file12,Blk1,Blk2,Blk3,Blk4,Blk5,Blk6</v>
      </c>
    </row>
    <row r="25" spans="2:116" x14ac:dyDescent="0.25">
      <c r="B25">
        <f t="shared" si="92"/>
        <v>13</v>
      </c>
      <c r="F25" t="s">
        <v>28</v>
      </c>
      <c r="W25">
        <f t="shared" si="115"/>
        <v>0</v>
      </c>
      <c r="X25">
        <f t="shared" si="116"/>
        <v>0</v>
      </c>
      <c r="Y25">
        <f t="shared" si="117"/>
        <v>0</v>
      </c>
      <c r="Z25">
        <f t="shared" si="118"/>
        <v>1</v>
      </c>
      <c r="AA25">
        <f t="shared" si="119"/>
        <v>0</v>
      </c>
      <c r="AB25">
        <f t="shared" si="120"/>
        <v>0</v>
      </c>
      <c r="AC25">
        <f t="shared" si="121"/>
        <v>0</v>
      </c>
      <c r="AD25">
        <f t="shared" si="122"/>
        <v>0</v>
      </c>
      <c r="AE25">
        <f t="shared" si="123"/>
        <v>0</v>
      </c>
      <c r="AF25">
        <f t="shared" si="124"/>
        <v>0</v>
      </c>
      <c r="AG25">
        <f t="shared" si="125"/>
        <v>0</v>
      </c>
      <c r="AH25">
        <f t="shared" si="126"/>
        <v>0</v>
      </c>
      <c r="AI25">
        <f t="shared" si="127"/>
        <v>0</v>
      </c>
      <c r="AJ25">
        <f t="shared" si="128"/>
        <v>0</v>
      </c>
      <c r="AK25">
        <f t="shared" si="129"/>
        <v>0</v>
      </c>
      <c r="AL25">
        <f t="shared" si="130"/>
        <v>0</v>
      </c>
      <c r="AM25">
        <f t="shared" si="131"/>
        <v>0</v>
      </c>
      <c r="AN25">
        <f t="shared" si="132"/>
        <v>0</v>
      </c>
      <c r="AO25">
        <f t="shared" si="133"/>
        <v>0</v>
      </c>
      <c r="AP25" s="2" t="str">
        <f t="shared" si="46"/>
        <v/>
      </c>
      <c r="AQ25" t="str">
        <f t="shared" ref="AQ25:AR25" si="139">IF(AND(W25=1,W24=1),"+",IF(AND(W25=1,W24=0),IF(AQ24="S","+",1),IF(AND(AQ24&lt;&gt;"",AR25&lt;&gt;""),"S","")))</f>
        <v>S</v>
      </c>
      <c r="AR25" t="str">
        <f t="shared" si="139"/>
        <v>S</v>
      </c>
      <c r="AS25" t="str">
        <f t="shared" si="95"/>
        <v>S</v>
      </c>
      <c r="AT25" t="str">
        <f t="shared" si="96"/>
        <v>+</v>
      </c>
      <c r="AU25" t="str">
        <f t="shared" si="97"/>
        <v/>
      </c>
      <c r="AV25" t="str">
        <f t="shared" si="98"/>
        <v/>
      </c>
      <c r="AW25" t="str">
        <f t="shared" si="99"/>
        <v/>
      </c>
      <c r="AX25" t="str">
        <f t="shared" si="100"/>
        <v/>
      </c>
      <c r="AY25" t="str">
        <f t="shared" si="101"/>
        <v/>
      </c>
      <c r="AZ25" t="str">
        <f t="shared" si="102"/>
        <v/>
      </c>
      <c r="BA25" t="str">
        <f t="shared" si="103"/>
        <v/>
      </c>
      <c r="BB25" t="str">
        <f t="shared" si="104"/>
        <v/>
      </c>
      <c r="BC25" t="str">
        <f t="shared" si="105"/>
        <v/>
      </c>
      <c r="BD25" t="str">
        <f t="shared" si="106"/>
        <v/>
      </c>
      <c r="BE25" t="str">
        <f t="shared" si="107"/>
        <v/>
      </c>
      <c r="BF25" t="str">
        <f t="shared" si="108"/>
        <v/>
      </c>
      <c r="BG25" t="str">
        <f t="shared" si="109"/>
        <v/>
      </c>
      <c r="BH25" t="str">
        <f t="shared" si="110"/>
        <v/>
      </c>
      <c r="BI25" t="str">
        <f t="shared" si="111"/>
        <v/>
      </c>
      <c r="BK25">
        <f t="shared" si="48"/>
        <v>1</v>
      </c>
      <c r="BL25">
        <f t="shared" si="49"/>
        <v>3</v>
      </c>
      <c r="BM25">
        <f t="shared" si="50"/>
        <v>2</v>
      </c>
      <c r="BN25">
        <f t="shared" si="51"/>
        <v>2</v>
      </c>
      <c r="BO25">
        <f t="shared" si="52"/>
        <v>0</v>
      </c>
      <c r="BP25">
        <f t="shared" si="53"/>
        <v>0</v>
      </c>
      <c r="BQ25">
        <f t="shared" si="54"/>
        <v>0</v>
      </c>
      <c r="BR25">
        <f t="shared" si="55"/>
        <v>0</v>
      </c>
      <c r="BS25">
        <f t="shared" si="56"/>
        <v>0</v>
      </c>
      <c r="BT25">
        <f t="shared" si="57"/>
        <v>0</v>
      </c>
      <c r="BU25">
        <f t="shared" si="58"/>
        <v>0</v>
      </c>
      <c r="BV25">
        <f t="shared" si="59"/>
        <v>0</v>
      </c>
      <c r="BW25">
        <f t="shared" si="60"/>
        <v>0</v>
      </c>
      <c r="BX25">
        <f t="shared" si="61"/>
        <v>0</v>
      </c>
      <c r="BY25">
        <f t="shared" si="62"/>
        <v>0</v>
      </c>
      <c r="BZ25">
        <f t="shared" si="63"/>
        <v>0</v>
      </c>
      <c r="CA25">
        <f t="shared" si="64"/>
        <v>0</v>
      </c>
      <c r="CB25">
        <f t="shared" si="65"/>
        <v>0</v>
      </c>
      <c r="CC25">
        <f t="shared" si="66"/>
        <v>0</v>
      </c>
      <c r="CE25" t="str">
        <f t="shared" si="67"/>
        <v>013</v>
      </c>
      <c r="CF25" t="str">
        <f t="shared" si="68"/>
        <v>00</v>
      </c>
      <c r="CG25" t="str">
        <f t="shared" si="25"/>
        <v>00</v>
      </c>
      <c r="CH25" t="str">
        <f t="shared" si="25"/>
        <v>00</v>
      </c>
      <c r="CI25" t="str">
        <f t="shared" si="69"/>
        <v>01</v>
      </c>
      <c r="CJ25" t="str">
        <f t="shared" si="70"/>
        <v>03</v>
      </c>
      <c r="CK25" t="str">
        <f t="shared" si="71"/>
        <v>02</v>
      </c>
      <c r="CL25" t="str">
        <f t="shared" si="72"/>
        <v>02</v>
      </c>
      <c r="CM25" t="str">
        <f t="shared" si="73"/>
        <v>00</v>
      </c>
      <c r="CN25" t="str">
        <f t="shared" si="74"/>
        <v>00</v>
      </c>
      <c r="CO25" t="str">
        <f t="shared" si="75"/>
        <v>00</v>
      </c>
      <c r="CP25" t="str">
        <f t="shared" si="76"/>
        <v>00</v>
      </c>
      <c r="CQ25" t="str">
        <f t="shared" si="77"/>
        <v>00</v>
      </c>
      <c r="CR25" t="str">
        <f t="shared" si="78"/>
        <v>00</v>
      </c>
      <c r="CS25" t="str">
        <f t="shared" si="79"/>
        <v>00</v>
      </c>
      <c r="CT25" t="str">
        <f t="shared" si="80"/>
        <v>00</v>
      </c>
      <c r="CU25" t="str">
        <f t="shared" si="81"/>
        <v>00</v>
      </c>
      <c r="CV25" t="str">
        <f t="shared" si="82"/>
        <v>00</v>
      </c>
      <c r="CW25" t="str">
        <f t="shared" si="83"/>
        <v>00</v>
      </c>
      <c r="CX25" t="str">
        <f t="shared" si="84"/>
        <v>00</v>
      </c>
      <c r="CY25" t="str">
        <f t="shared" si="85"/>
        <v>00</v>
      </c>
      <c r="CZ25" t="str">
        <f t="shared" si="86"/>
        <v>00</v>
      </c>
      <c r="DA25" t="str">
        <f t="shared" si="87"/>
        <v>00</v>
      </c>
      <c r="DB25" t="str">
        <f t="shared" si="88"/>
        <v>04</v>
      </c>
      <c r="DC25" t="str">
        <f t="shared" si="89"/>
        <v>0103020200000000000000000000000000000004</v>
      </c>
      <c r="DD25" t="str">
        <f t="shared" si="90"/>
        <v>Return to manufacturer</v>
      </c>
      <c r="DE25" t="s">
        <v>132</v>
      </c>
      <c r="DF25" t="s">
        <v>223</v>
      </c>
      <c r="DG25" t="s">
        <v>224</v>
      </c>
      <c r="DH25" t="s">
        <v>225</v>
      </c>
      <c r="DI25" t="s">
        <v>226</v>
      </c>
      <c r="DJ25" t="s">
        <v>227</v>
      </c>
      <c r="DK25" t="s">
        <v>228</v>
      </c>
      <c r="DL25" t="str">
        <f t="shared" si="91"/>
        <v>013,00,00,00,01,03,02,02,00,00,00,00,00,00,00,00,00,00,00,00,00,00,00,04,0103020200000000000000000000000000000004,Return to manufacturer,file13,Blk1,Blk2,Blk3,Blk4,Blk5,Blk6</v>
      </c>
    </row>
    <row r="26" spans="2:116" x14ac:dyDescent="0.25">
      <c r="B26">
        <f t="shared" si="92"/>
        <v>14</v>
      </c>
      <c r="F26" t="s">
        <v>29</v>
      </c>
      <c r="W26">
        <f t="shared" si="115"/>
        <v>0</v>
      </c>
      <c r="X26">
        <f t="shared" si="116"/>
        <v>0</v>
      </c>
      <c r="Y26">
        <f t="shared" si="117"/>
        <v>0</v>
      </c>
      <c r="Z26">
        <f t="shared" si="118"/>
        <v>1</v>
      </c>
      <c r="AA26">
        <f t="shared" si="119"/>
        <v>0</v>
      </c>
      <c r="AB26">
        <f t="shared" si="120"/>
        <v>0</v>
      </c>
      <c r="AC26">
        <f t="shared" si="121"/>
        <v>0</v>
      </c>
      <c r="AD26">
        <f t="shared" si="122"/>
        <v>0</v>
      </c>
      <c r="AE26">
        <f t="shared" si="123"/>
        <v>0</v>
      </c>
      <c r="AF26">
        <f t="shared" si="124"/>
        <v>0</v>
      </c>
      <c r="AG26">
        <f t="shared" si="125"/>
        <v>0</v>
      </c>
      <c r="AH26">
        <f t="shared" si="126"/>
        <v>0</v>
      </c>
      <c r="AI26">
        <f t="shared" si="127"/>
        <v>0</v>
      </c>
      <c r="AJ26">
        <f t="shared" si="128"/>
        <v>0</v>
      </c>
      <c r="AK26">
        <f t="shared" si="129"/>
        <v>0</v>
      </c>
      <c r="AL26">
        <f t="shared" si="130"/>
        <v>0</v>
      </c>
      <c r="AM26">
        <f t="shared" si="131"/>
        <v>0</v>
      </c>
      <c r="AN26">
        <f t="shared" si="132"/>
        <v>0</v>
      </c>
      <c r="AO26">
        <f t="shared" si="133"/>
        <v>0</v>
      </c>
      <c r="AP26" s="2" t="str">
        <f t="shared" si="46"/>
        <v/>
      </c>
      <c r="AQ26" t="str">
        <f t="shared" ref="AQ26:AQ89" si="140">IF(AND(W26=1,W25=1),"+",IF(AND(W26=1,W25=0),IF(AQ25="S","+",1),IF(AND(AQ25&lt;&gt;"",AR26&lt;&gt;""),"S","")))</f>
        <v>S</v>
      </c>
      <c r="AR26" t="str">
        <f t="shared" ref="AR26:AR89" si="141">IF(AND(X26=1,X25=1),"+",IF(AND(X26=1,X25=0),IF(AR25="S","+",1),IF(AND(AR25&lt;&gt;"",AS26&lt;&gt;""),"S","")))</f>
        <v>S</v>
      </c>
      <c r="AS26" t="str">
        <f t="shared" ref="AS26:AS89" si="142">IF(AND(Y26=1,Y25=1),"+",IF(AND(Y26=1,Y25=0),IF(AS25="S","+",1),IF(AND(AS25&lt;&gt;"",AT26&lt;&gt;""),"S","")))</f>
        <v>S</v>
      </c>
      <c r="AT26" t="str">
        <f t="shared" ref="AT26:AT89" si="143">IF(AND(Z26=1,Z25=1),"+",IF(AND(Z26=1,Z25=0),IF(AT25="S","+",1),IF(AND(AT25&lt;&gt;"",AU26&lt;&gt;""),"S","")))</f>
        <v>+</v>
      </c>
      <c r="AU26" t="str">
        <f t="shared" ref="AU26:AU89" si="144">IF(AND(AA26=1,AA25=1),"+",IF(AND(AA26=1,AA25=0),IF(AU25="S","+",1),IF(AND(AU25&lt;&gt;"",AV26&lt;&gt;""),"S","")))</f>
        <v/>
      </c>
      <c r="AV26" t="str">
        <f t="shared" ref="AV26:AV89" si="145">IF(AND(AB26=1,AB25=1),"+",IF(AND(AB26=1,AB25=0),IF(AV25="S","+",1),IF(AND(AV25&lt;&gt;"",AW26&lt;&gt;""),"S","")))</f>
        <v/>
      </c>
      <c r="AW26" t="str">
        <f t="shared" ref="AW26:AW89" si="146">IF(AND(AC26=1,AC25=1),"+",IF(AND(AC26=1,AC25=0),IF(AW25="S","+",1),IF(AND(AW25&lt;&gt;"",AX26&lt;&gt;""),"S","")))</f>
        <v/>
      </c>
      <c r="AX26" t="str">
        <f t="shared" ref="AX26:AX89" si="147">IF(AND(AD26=1,AD25=1),"+",IF(AND(AD26=1,AD25=0),IF(AX25="S","+",1),IF(AND(AX25&lt;&gt;"",AY26&lt;&gt;""),"S","")))</f>
        <v/>
      </c>
      <c r="AY26" t="str">
        <f t="shared" ref="AY26:AY89" si="148">IF(AND(AE26=1,AE25=1),"+",IF(AND(AE26=1,AE25=0),IF(AY25="S","+",1),IF(AND(AY25&lt;&gt;"",AZ26&lt;&gt;""),"S","")))</f>
        <v/>
      </c>
      <c r="AZ26" t="str">
        <f t="shared" ref="AZ26:AZ89" si="149">IF(AND(AF26=1,AF25=1),"+",IF(AND(AF26=1,AF25=0),IF(AZ25="S","+",1),IF(AND(AZ25&lt;&gt;"",BA26&lt;&gt;""),"S","")))</f>
        <v/>
      </c>
      <c r="BA26" t="str">
        <f t="shared" ref="BA26:BA89" si="150">IF(AND(AG26=1,AG25=1),"+",IF(AND(AG26=1,AG25=0),IF(BA25="S","+",1),IF(AND(BA25&lt;&gt;"",BB26&lt;&gt;""),"S","")))</f>
        <v/>
      </c>
      <c r="BB26" t="str">
        <f t="shared" ref="BB26:BB89" si="151">IF(AND(AH26=1,AH25=1),"+",IF(AND(AH26=1,AH25=0),IF(BB25="S","+",1),IF(AND(BB25&lt;&gt;"",BC26&lt;&gt;""),"S","")))</f>
        <v/>
      </c>
      <c r="BC26" t="str">
        <f t="shared" ref="BC26:BC89" si="152">IF(AND(AI26=1,AI25=1),"+",IF(AND(AI26=1,AI25=0),IF(BC25="S","+",1),IF(AND(BC25&lt;&gt;"",BD26&lt;&gt;""),"S","")))</f>
        <v/>
      </c>
      <c r="BD26" t="str">
        <f t="shared" ref="BD26:BD89" si="153">IF(AND(AJ26=1,AJ25=1),"+",IF(AND(AJ26=1,AJ25=0),IF(BD25="S","+",1),IF(AND(BD25&lt;&gt;"",BE26&lt;&gt;""),"S","")))</f>
        <v/>
      </c>
      <c r="BE26" t="str">
        <f t="shared" ref="BE26:BE89" si="154">IF(AND(AK26=1,AK25=1),"+",IF(AND(AK26=1,AK25=0),IF(BE25="S","+",1),IF(AND(BE25&lt;&gt;"",BF26&lt;&gt;""),"S","")))</f>
        <v/>
      </c>
      <c r="BF26" t="str">
        <f t="shared" ref="BF26:BF89" si="155">IF(AND(AL26=1,AL25=1),"+",IF(AND(AL26=1,AL25=0),IF(BF25="S","+",1),IF(AND(BF25&lt;&gt;"",BG26&lt;&gt;""),"S","")))</f>
        <v/>
      </c>
      <c r="BG26" t="str">
        <f t="shared" ref="BG26:BG89" si="156">IF(AND(AM26=1,AM25=1),"+",IF(AND(AM26=1,AM25=0),IF(BG25="S","+",1),IF(AND(BG25&lt;&gt;"",BH26&lt;&gt;""),"S","")))</f>
        <v/>
      </c>
      <c r="BH26" t="str">
        <f t="shared" ref="BH26:BH89" si="157">IF(AND(AN26=1,AN25=1),"+",IF(AND(AN26=1,AN25=0),IF(BH25="S","+",1),IF(AND(BH25&lt;&gt;"",BI26&lt;&gt;""),"S","")))</f>
        <v/>
      </c>
      <c r="BI26" t="str">
        <f t="shared" ref="BI26:BI89" si="158">IF(AND(AO26=1,AO25=1),"+",IF(AND(AO26=1,AO25=0),IF(BI25="S","+",1),IF(AND(BI25&lt;&gt;"",BJ26&lt;&gt;""),"S","")))</f>
        <v/>
      </c>
      <c r="BK26">
        <f t="shared" si="48"/>
        <v>1</v>
      </c>
      <c r="BL26">
        <f t="shared" si="49"/>
        <v>3</v>
      </c>
      <c r="BM26">
        <f t="shared" si="50"/>
        <v>2</v>
      </c>
      <c r="BN26">
        <f t="shared" si="51"/>
        <v>3</v>
      </c>
      <c r="BO26">
        <f t="shared" si="52"/>
        <v>0</v>
      </c>
      <c r="BP26">
        <f t="shared" si="53"/>
        <v>0</v>
      </c>
      <c r="BQ26">
        <f t="shared" si="54"/>
        <v>0</v>
      </c>
      <c r="BR26">
        <f t="shared" si="55"/>
        <v>0</v>
      </c>
      <c r="BS26">
        <f t="shared" si="56"/>
        <v>0</v>
      </c>
      <c r="BT26">
        <f t="shared" si="57"/>
        <v>0</v>
      </c>
      <c r="BU26">
        <f t="shared" si="58"/>
        <v>0</v>
      </c>
      <c r="BV26">
        <f t="shared" si="59"/>
        <v>0</v>
      </c>
      <c r="BW26">
        <f t="shared" si="60"/>
        <v>0</v>
      </c>
      <c r="BX26">
        <f t="shared" si="61"/>
        <v>0</v>
      </c>
      <c r="BY26">
        <f t="shared" si="62"/>
        <v>0</v>
      </c>
      <c r="BZ26">
        <f t="shared" si="63"/>
        <v>0</v>
      </c>
      <c r="CA26">
        <f t="shared" si="64"/>
        <v>0</v>
      </c>
      <c r="CB26">
        <f t="shared" si="65"/>
        <v>0</v>
      </c>
      <c r="CC26">
        <f t="shared" si="66"/>
        <v>0</v>
      </c>
      <c r="CE26" t="str">
        <f t="shared" si="67"/>
        <v>014</v>
      </c>
      <c r="CF26" t="str">
        <f t="shared" si="68"/>
        <v>00</v>
      </c>
      <c r="CG26" t="str">
        <f t="shared" si="25"/>
        <v>00</v>
      </c>
      <c r="CH26" t="str">
        <f t="shared" si="25"/>
        <v>00</v>
      </c>
      <c r="CI26" t="str">
        <f t="shared" si="69"/>
        <v>01</v>
      </c>
      <c r="CJ26" t="str">
        <f t="shared" si="70"/>
        <v>03</v>
      </c>
      <c r="CK26" t="str">
        <f t="shared" si="71"/>
        <v>02</v>
      </c>
      <c r="CL26" t="str">
        <f t="shared" si="72"/>
        <v>03</v>
      </c>
      <c r="CM26" t="str">
        <f t="shared" si="73"/>
        <v>00</v>
      </c>
      <c r="CN26" t="str">
        <f t="shared" si="74"/>
        <v>00</v>
      </c>
      <c r="CO26" t="str">
        <f t="shared" si="75"/>
        <v>00</v>
      </c>
      <c r="CP26" t="str">
        <f t="shared" si="76"/>
        <v>00</v>
      </c>
      <c r="CQ26" t="str">
        <f t="shared" si="77"/>
        <v>00</v>
      </c>
      <c r="CR26" t="str">
        <f t="shared" si="78"/>
        <v>00</v>
      </c>
      <c r="CS26" t="str">
        <f t="shared" si="79"/>
        <v>00</v>
      </c>
      <c r="CT26" t="str">
        <f t="shared" si="80"/>
        <v>00</v>
      </c>
      <c r="CU26" t="str">
        <f t="shared" si="81"/>
        <v>00</v>
      </c>
      <c r="CV26" t="str">
        <f t="shared" si="82"/>
        <v>00</v>
      </c>
      <c r="CW26" t="str">
        <f t="shared" si="83"/>
        <v>00</v>
      </c>
      <c r="CX26" t="str">
        <f t="shared" si="84"/>
        <v>00</v>
      </c>
      <c r="CY26" t="str">
        <f t="shared" si="85"/>
        <v>00</v>
      </c>
      <c r="CZ26" t="str">
        <f t="shared" si="86"/>
        <v>00</v>
      </c>
      <c r="DA26" t="str">
        <f t="shared" si="87"/>
        <v>00</v>
      </c>
      <c r="DB26" t="str">
        <f t="shared" si="88"/>
        <v>04</v>
      </c>
      <c r="DC26" t="str">
        <f t="shared" si="89"/>
        <v>0103020300000000000000000000000000000004</v>
      </c>
      <c r="DD26" t="str">
        <f t="shared" si="90"/>
        <v>Return to sender</v>
      </c>
      <c r="DE26" t="s">
        <v>133</v>
      </c>
      <c r="DF26" t="s">
        <v>223</v>
      </c>
      <c r="DG26" t="s">
        <v>224</v>
      </c>
      <c r="DH26" t="s">
        <v>225</v>
      </c>
      <c r="DI26" t="s">
        <v>226</v>
      </c>
      <c r="DJ26" t="s">
        <v>227</v>
      </c>
      <c r="DK26" t="s">
        <v>228</v>
      </c>
      <c r="DL26" t="str">
        <f t="shared" si="91"/>
        <v>014,00,00,00,01,03,02,03,00,00,00,00,00,00,00,00,00,00,00,00,00,00,00,04,0103020300000000000000000000000000000004,Return to sender,file14,Blk1,Blk2,Blk3,Blk4,Blk5,Blk6</v>
      </c>
    </row>
    <row r="27" spans="2:116" x14ac:dyDescent="0.25">
      <c r="B27">
        <f t="shared" si="92"/>
        <v>15</v>
      </c>
      <c r="E27" t="s">
        <v>22</v>
      </c>
      <c r="W27">
        <f t="shared" si="115"/>
        <v>0</v>
      </c>
      <c r="X27">
        <f t="shared" si="116"/>
        <v>0</v>
      </c>
      <c r="Y27">
        <f t="shared" si="117"/>
        <v>1</v>
      </c>
      <c r="Z27">
        <f t="shared" si="118"/>
        <v>0</v>
      </c>
      <c r="AA27">
        <f t="shared" si="119"/>
        <v>0</v>
      </c>
      <c r="AB27">
        <f t="shared" si="120"/>
        <v>0</v>
      </c>
      <c r="AC27">
        <f t="shared" si="121"/>
        <v>0</v>
      </c>
      <c r="AD27">
        <f t="shared" si="122"/>
        <v>0</v>
      </c>
      <c r="AE27">
        <f t="shared" si="123"/>
        <v>0</v>
      </c>
      <c r="AF27">
        <f t="shared" si="124"/>
        <v>0</v>
      </c>
      <c r="AG27">
        <f t="shared" si="125"/>
        <v>0</v>
      </c>
      <c r="AH27">
        <f t="shared" si="126"/>
        <v>0</v>
      </c>
      <c r="AI27">
        <f t="shared" si="127"/>
        <v>0</v>
      </c>
      <c r="AJ27">
        <f t="shared" si="128"/>
        <v>0</v>
      </c>
      <c r="AK27">
        <f t="shared" si="129"/>
        <v>0</v>
      </c>
      <c r="AL27">
        <f t="shared" si="130"/>
        <v>0</v>
      </c>
      <c r="AM27">
        <f t="shared" si="131"/>
        <v>0</v>
      </c>
      <c r="AN27">
        <f t="shared" si="132"/>
        <v>0</v>
      </c>
      <c r="AO27">
        <f t="shared" si="133"/>
        <v>0</v>
      </c>
      <c r="AP27" s="2" t="str">
        <f t="shared" si="46"/>
        <v/>
      </c>
      <c r="AQ27" t="str">
        <f t="shared" si="140"/>
        <v>S</v>
      </c>
      <c r="AR27" t="str">
        <f t="shared" si="141"/>
        <v>S</v>
      </c>
      <c r="AS27" t="str">
        <f t="shared" si="142"/>
        <v>+</v>
      </c>
      <c r="AT27" t="str">
        <f t="shared" si="143"/>
        <v/>
      </c>
      <c r="AU27" t="str">
        <f t="shared" si="144"/>
        <v/>
      </c>
      <c r="AV27" t="str">
        <f t="shared" si="145"/>
        <v/>
      </c>
      <c r="AW27" t="str">
        <f t="shared" si="146"/>
        <v/>
      </c>
      <c r="AX27" t="str">
        <f t="shared" si="147"/>
        <v/>
      </c>
      <c r="AY27" t="str">
        <f t="shared" si="148"/>
        <v/>
      </c>
      <c r="AZ27" t="str">
        <f t="shared" si="149"/>
        <v/>
      </c>
      <c r="BA27" t="str">
        <f t="shared" si="150"/>
        <v/>
      </c>
      <c r="BB27" t="str">
        <f t="shared" si="151"/>
        <v/>
      </c>
      <c r="BC27" t="str">
        <f t="shared" si="152"/>
        <v/>
      </c>
      <c r="BD27" t="str">
        <f t="shared" si="153"/>
        <v/>
      </c>
      <c r="BE27" t="str">
        <f t="shared" si="154"/>
        <v/>
      </c>
      <c r="BF27" t="str">
        <f t="shared" si="155"/>
        <v/>
      </c>
      <c r="BG27" t="str">
        <f t="shared" si="156"/>
        <v/>
      </c>
      <c r="BH27" t="str">
        <f t="shared" si="157"/>
        <v/>
      </c>
      <c r="BI27" t="str">
        <f t="shared" si="158"/>
        <v/>
      </c>
      <c r="BK27">
        <f t="shared" si="48"/>
        <v>1</v>
      </c>
      <c r="BL27">
        <f t="shared" si="49"/>
        <v>3</v>
      </c>
      <c r="BM27">
        <f t="shared" si="50"/>
        <v>3</v>
      </c>
      <c r="BN27">
        <f t="shared" si="51"/>
        <v>0</v>
      </c>
      <c r="BO27">
        <f t="shared" si="52"/>
        <v>0</v>
      </c>
      <c r="BP27">
        <f t="shared" si="53"/>
        <v>0</v>
      </c>
      <c r="BQ27">
        <f t="shared" si="54"/>
        <v>0</v>
      </c>
      <c r="BR27">
        <f t="shared" si="55"/>
        <v>0</v>
      </c>
      <c r="BS27">
        <f t="shared" si="56"/>
        <v>0</v>
      </c>
      <c r="BT27">
        <f t="shared" si="57"/>
        <v>0</v>
      </c>
      <c r="BU27">
        <f t="shared" si="58"/>
        <v>0</v>
      </c>
      <c r="BV27">
        <f t="shared" si="59"/>
        <v>0</v>
      </c>
      <c r="BW27">
        <f t="shared" si="60"/>
        <v>0</v>
      </c>
      <c r="BX27">
        <f t="shared" si="61"/>
        <v>0</v>
      </c>
      <c r="BY27">
        <f t="shared" si="62"/>
        <v>0</v>
      </c>
      <c r="BZ27">
        <f t="shared" si="63"/>
        <v>0</v>
      </c>
      <c r="CA27">
        <f t="shared" si="64"/>
        <v>0</v>
      </c>
      <c r="CB27">
        <f t="shared" si="65"/>
        <v>0</v>
      </c>
      <c r="CC27">
        <f t="shared" si="66"/>
        <v>0</v>
      </c>
      <c r="CE27" t="str">
        <f t="shared" si="67"/>
        <v>015</v>
      </c>
      <c r="CF27" t="str">
        <f t="shared" si="68"/>
        <v>00</v>
      </c>
      <c r="CG27" t="str">
        <f t="shared" si="25"/>
        <v>00</v>
      </c>
      <c r="CH27" t="str">
        <f t="shared" si="25"/>
        <v>00</v>
      </c>
      <c r="CI27" t="str">
        <f t="shared" si="69"/>
        <v>01</v>
      </c>
      <c r="CJ27" t="str">
        <f t="shared" si="70"/>
        <v>03</v>
      </c>
      <c r="CK27" t="str">
        <f t="shared" si="71"/>
        <v>03</v>
      </c>
      <c r="CL27" t="str">
        <f t="shared" si="72"/>
        <v>00</v>
      </c>
      <c r="CM27" t="str">
        <f t="shared" si="73"/>
        <v>00</v>
      </c>
      <c r="CN27" t="str">
        <f t="shared" si="74"/>
        <v>00</v>
      </c>
      <c r="CO27" t="str">
        <f t="shared" si="75"/>
        <v>00</v>
      </c>
      <c r="CP27" t="str">
        <f t="shared" si="76"/>
        <v>00</v>
      </c>
      <c r="CQ27" t="str">
        <f t="shared" si="77"/>
        <v>00</v>
      </c>
      <c r="CR27" t="str">
        <f t="shared" si="78"/>
        <v>00</v>
      </c>
      <c r="CS27" t="str">
        <f t="shared" si="79"/>
        <v>00</v>
      </c>
      <c r="CT27" t="str">
        <f t="shared" si="80"/>
        <v>00</v>
      </c>
      <c r="CU27" t="str">
        <f t="shared" si="81"/>
        <v>00</v>
      </c>
      <c r="CV27" t="str">
        <f t="shared" si="82"/>
        <v>00</v>
      </c>
      <c r="CW27" t="str">
        <f t="shared" si="83"/>
        <v>00</v>
      </c>
      <c r="CX27" t="str">
        <f t="shared" si="84"/>
        <v>00</v>
      </c>
      <c r="CY27" t="str">
        <f t="shared" si="85"/>
        <v>00</v>
      </c>
      <c r="CZ27" t="str">
        <f t="shared" si="86"/>
        <v>00</v>
      </c>
      <c r="DA27" t="str">
        <f t="shared" si="87"/>
        <v>00</v>
      </c>
      <c r="DB27" t="str">
        <f t="shared" si="88"/>
        <v>03</v>
      </c>
      <c r="DC27" t="str">
        <f t="shared" si="89"/>
        <v>0103030000000000000000000000000000000003</v>
      </c>
      <c r="DD27" t="str">
        <f t="shared" si="90"/>
        <v>Item to transfer</v>
      </c>
      <c r="DE27" t="s">
        <v>134</v>
      </c>
      <c r="DF27" t="s">
        <v>223</v>
      </c>
      <c r="DG27" t="s">
        <v>224</v>
      </c>
      <c r="DH27" t="s">
        <v>225</v>
      </c>
      <c r="DI27" t="s">
        <v>226</v>
      </c>
      <c r="DJ27" t="s">
        <v>227</v>
      </c>
      <c r="DK27" t="s">
        <v>228</v>
      </c>
      <c r="DL27" t="str">
        <f t="shared" si="91"/>
        <v>015,00,00,00,01,03,03,00,00,00,00,00,00,00,00,00,00,00,00,00,00,00,00,03,0103030000000000000000000000000000000003,Item to transfer,file15,Blk1,Blk2,Blk3,Blk4,Blk5,Blk6</v>
      </c>
    </row>
    <row r="28" spans="2:116" x14ac:dyDescent="0.25">
      <c r="B28">
        <f t="shared" si="92"/>
        <v>16</v>
      </c>
      <c r="F28" t="s">
        <v>23</v>
      </c>
      <c r="W28">
        <f t="shared" si="115"/>
        <v>0</v>
      </c>
      <c r="X28">
        <f t="shared" si="116"/>
        <v>0</v>
      </c>
      <c r="Y28">
        <f t="shared" si="117"/>
        <v>0</v>
      </c>
      <c r="Z28">
        <f t="shared" si="118"/>
        <v>1</v>
      </c>
      <c r="AA28">
        <f t="shared" si="119"/>
        <v>0</v>
      </c>
      <c r="AB28">
        <f t="shared" si="120"/>
        <v>0</v>
      </c>
      <c r="AC28">
        <f t="shared" si="121"/>
        <v>0</v>
      </c>
      <c r="AD28">
        <f t="shared" si="122"/>
        <v>0</v>
      </c>
      <c r="AE28">
        <f t="shared" si="123"/>
        <v>0</v>
      </c>
      <c r="AF28">
        <f t="shared" si="124"/>
        <v>0</v>
      </c>
      <c r="AG28">
        <f t="shared" si="125"/>
        <v>0</v>
      </c>
      <c r="AH28">
        <f t="shared" si="126"/>
        <v>0</v>
      </c>
      <c r="AI28">
        <f t="shared" si="127"/>
        <v>0</v>
      </c>
      <c r="AJ28">
        <f t="shared" si="128"/>
        <v>0</v>
      </c>
      <c r="AK28">
        <f t="shared" si="129"/>
        <v>0</v>
      </c>
      <c r="AL28">
        <f t="shared" si="130"/>
        <v>0</v>
      </c>
      <c r="AM28">
        <f t="shared" si="131"/>
        <v>0</v>
      </c>
      <c r="AN28">
        <f t="shared" si="132"/>
        <v>0</v>
      </c>
      <c r="AO28">
        <f t="shared" si="133"/>
        <v>0</v>
      </c>
      <c r="AP28" s="2" t="str">
        <f t="shared" si="46"/>
        <v/>
      </c>
      <c r="AQ28" t="str">
        <f t="shared" si="140"/>
        <v>S</v>
      </c>
      <c r="AR28" t="str">
        <f t="shared" si="141"/>
        <v>S</v>
      </c>
      <c r="AS28" t="str">
        <f t="shared" si="142"/>
        <v>S</v>
      </c>
      <c r="AT28">
        <f t="shared" si="143"/>
        <v>1</v>
      </c>
      <c r="AU28" t="str">
        <f t="shared" si="144"/>
        <v/>
      </c>
      <c r="AV28" t="str">
        <f t="shared" si="145"/>
        <v/>
      </c>
      <c r="AW28" t="str">
        <f t="shared" si="146"/>
        <v/>
      </c>
      <c r="AX28" t="str">
        <f t="shared" si="147"/>
        <v/>
      </c>
      <c r="AY28" t="str">
        <f t="shared" si="148"/>
        <v/>
      </c>
      <c r="AZ28" t="str">
        <f t="shared" si="149"/>
        <v/>
      </c>
      <c r="BA28" t="str">
        <f t="shared" si="150"/>
        <v/>
      </c>
      <c r="BB28" t="str">
        <f t="shared" si="151"/>
        <v/>
      </c>
      <c r="BC28" t="str">
        <f t="shared" si="152"/>
        <v/>
      </c>
      <c r="BD28" t="str">
        <f t="shared" si="153"/>
        <v/>
      </c>
      <c r="BE28" t="str">
        <f t="shared" si="154"/>
        <v/>
      </c>
      <c r="BF28" t="str">
        <f t="shared" si="155"/>
        <v/>
      </c>
      <c r="BG28" t="str">
        <f t="shared" si="156"/>
        <v/>
      </c>
      <c r="BH28" t="str">
        <f t="shared" si="157"/>
        <v/>
      </c>
      <c r="BI28" t="str">
        <f t="shared" si="158"/>
        <v/>
      </c>
      <c r="BK28">
        <f t="shared" si="48"/>
        <v>1</v>
      </c>
      <c r="BL28">
        <f t="shared" si="49"/>
        <v>3</v>
      </c>
      <c r="BM28">
        <f t="shared" si="50"/>
        <v>3</v>
      </c>
      <c r="BN28">
        <f t="shared" si="51"/>
        <v>1</v>
      </c>
      <c r="BO28">
        <f t="shared" si="52"/>
        <v>0</v>
      </c>
      <c r="BP28">
        <f t="shared" si="53"/>
        <v>0</v>
      </c>
      <c r="BQ28">
        <f t="shared" si="54"/>
        <v>0</v>
      </c>
      <c r="BR28">
        <f t="shared" si="55"/>
        <v>0</v>
      </c>
      <c r="BS28">
        <f t="shared" si="56"/>
        <v>0</v>
      </c>
      <c r="BT28">
        <f t="shared" si="57"/>
        <v>0</v>
      </c>
      <c r="BU28">
        <f t="shared" si="58"/>
        <v>0</v>
      </c>
      <c r="BV28">
        <f t="shared" si="59"/>
        <v>0</v>
      </c>
      <c r="BW28">
        <f t="shared" si="60"/>
        <v>0</v>
      </c>
      <c r="BX28">
        <f t="shared" si="61"/>
        <v>0</v>
      </c>
      <c r="BY28">
        <f t="shared" si="62"/>
        <v>0</v>
      </c>
      <c r="BZ28">
        <f t="shared" si="63"/>
        <v>0</v>
      </c>
      <c r="CA28">
        <f t="shared" si="64"/>
        <v>0</v>
      </c>
      <c r="CB28">
        <f t="shared" si="65"/>
        <v>0</v>
      </c>
      <c r="CC28">
        <f t="shared" si="66"/>
        <v>0</v>
      </c>
      <c r="CE28" t="str">
        <f t="shared" si="67"/>
        <v>016</v>
      </c>
      <c r="CF28" t="str">
        <f t="shared" si="68"/>
        <v>00</v>
      </c>
      <c r="CG28" t="str">
        <f t="shared" si="25"/>
        <v>00</v>
      </c>
      <c r="CH28" t="str">
        <f t="shared" si="25"/>
        <v>00</v>
      </c>
      <c r="CI28" t="str">
        <f t="shared" si="69"/>
        <v>01</v>
      </c>
      <c r="CJ28" t="str">
        <f t="shared" si="70"/>
        <v>03</v>
      </c>
      <c r="CK28" t="str">
        <f t="shared" si="71"/>
        <v>03</v>
      </c>
      <c r="CL28" t="str">
        <f t="shared" si="72"/>
        <v>01</v>
      </c>
      <c r="CM28" t="str">
        <f t="shared" si="73"/>
        <v>00</v>
      </c>
      <c r="CN28" t="str">
        <f t="shared" si="74"/>
        <v>00</v>
      </c>
      <c r="CO28" t="str">
        <f t="shared" si="75"/>
        <v>00</v>
      </c>
      <c r="CP28" t="str">
        <f t="shared" si="76"/>
        <v>00</v>
      </c>
      <c r="CQ28" t="str">
        <f t="shared" si="77"/>
        <v>00</v>
      </c>
      <c r="CR28" t="str">
        <f t="shared" si="78"/>
        <v>00</v>
      </c>
      <c r="CS28" t="str">
        <f t="shared" si="79"/>
        <v>00</v>
      </c>
      <c r="CT28" t="str">
        <f t="shared" si="80"/>
        <v>00</v>
      </c>
      <c r="CU28" t="str">
        <f t="shared" si="81"/>
        <v>00</v>
      </c>
      <c r="CV28" t="str">
        <f t="shared" si="82"/>
        <v>00</v>
      </c>
      <c r="CW28" t="str">
        <f t="shared" si="83"/>
        <v>00</v>
      </c>
      <c r="CX28" t="str">
        <f t="shared" si="84"/>
        <v>00</v>
      </c>
      <c r="CY28" t="str">
        <f t="shared" si="85"/>
        <v>00</v>
      </c>
      <c r="CZ28" t="str">
        <f t="shared" si="86"/>
        <v>00</v>
      </c>
      <c r="DA28" t="str">
        <f t="shared" si="87"/>
        <v>00</v>
      </c>
      <c r="DB28" t="str">
        <f t="shared" si="88"/>
        <v>04</v>
      </c>
      <c r="DC28" t="str">
        <f t="shared" si="89"/>
        <v>0103030100000000000000000000000000000004</v>
      </c>
      <c r="DD28" t="str">
        <f t="shared" si="90"/>
        <v>Inside building</v>
      </c>
      <c r="DE28" t="s">
        <v>135</v>
      </c>
      <c r="DF28" t="s">
        <v>223</v>
      </c>
      <c r="DG28" t="s">
        <v>224</v>
      </c>
      <c r="DH28" t="s">
        <v>225</v>
      </c>
      <c r="DI28" t="s">
        <v>226</v>
      </c>
      <c r="DJ28" t="s">
        <v>227</v>
      </c>
      <c r="DK28" t="s">
        <v>228</v>
      </c>
      <c r="DL28" t="str">
        <f t="shared" si="91"/>
        <v>016,00,00,00,01,03,03,01,00,00,00,00,00,00,00,00,00,00,00,00,00,00,00,04,0103030100000000000000000000000000000004,Inside building,file16,Blk1,Blk2,Blk3,Blk4,Blk5,Blk6</v>
      </c>
    </row>
    <row r="29" spans="2:116" x14ac:dyDescent="0.25">
      <c r="B29">
        <f t="shared" si="92"/>
        <v>17</v>
      </c>
      <c r="F29" t="s">
        <v>24</v>
      </c>
      <c r="W29">
        <f t="shared" si="115"/>
        <v>0</v>
      </c>
      <c r="X29">
        <f t="shared" si="116"/>
        <v>0</v>
      </c>
      <c r="Y29">
        <f t="shared" si="117"/>
        <v>0</v>
      </c>
      <c r="Z29">
        <f t="shared" si="118"/>
        <v>1</v>
      </c>
      <c r="AA29">
        <f t="shared" si="119"/>
        <v>0</v>
      </c>
      <c r="AB29">
        <f t="shared" si="120"/>
        <v>0</v>
      </c>
      <c r="AC29">
        <f t="shared" si="121"/>
        <v>0</v>
      </c>
      <c r="AD29">
        <f t="shared" si="122"/>
        <v>0</v>
      </c>
      <c r="AE29">
        <f t="shared" si="123"/>
        <v>0</v>
      </c>
      <c r="AF29">
        <f t="shared" si="124"/>
        <v>0</v>
      </c>
      <c r="AG29">
        <f t="shared" si="125"/>
        <v>0</v>
      </c>
      <c r="AH29">
        <f t="shared" si="126"/>
        <v>0</v>
      </c>
      <c r="AI29">
        <f t="shared" si="127"/>
        <v>0</v>
      </c>
      <c r="AJ29">
        <f t="shared" si="128"/>
        <v>0</v>
      </c>
      <c r="AK29">
        <f t="shared" si="129"/>
        <v>0</v>
      </c>
      <c r="AL29">
        <f t="shared" si="130"/>
        <v>0</v>
      </c>
      <c r="AM29">
        <f t="shared" si="131"/>
        <v>0</v>
      </c>
      <c r="AN29">
        <f t="shared" si="132"/>
        <v>0</v>
      </c>
      <c r="AO29">
        <f t="shared" si="133"/>
        <v>0</v>
      </c>
      <c r="AP29" s="2" t="str">
        <f t="shared" si="46"/>
        <v/>
      </c>
      <c r="AQ29" t="str">
        <f t="shared" si="140"/>
        <v>S</v>
      </c>
      <c r="AR29" t="str">
        <f t="shared" si="141"/>
        <v>S</v>
      </c>
      <c r="AS29" t="str">
        <f t="shared" si="142"/>
        <v>S</v>
      </c>
      <c r="AT29" t="str">
        <f t="shared" si="143"/>
        <v>+</v>
      </c>
      <c r="AU29" t="str">
        <f t="shared" si="144"/>
        <v/>
      </c>
      <c r="AV29" t="str">
        <f t="shared" si="145"/>
        <v/>
      </c>
      <c r="AW29" t="str">
        <f t="shared" si="146"/>
        <v/>
      </c>
      <c r="AX29" t="str">
        <f t="shared" si="147"/>
        <v/>
      </c>
      <c r="AY29" t="str">
        <f t="shared" si="148"/>
        <v/>
      </c>
      <c r="AZ29" t="str">
        <f t="shared" si="149"/>
        <v/>
      </c>
      <c r="BA29" t="str">
        <f t="shared" si="150"/>
        <v/>
      </c>
      <c r="BB29" t="str">
        <f t="shared" si="151"/>
        <v/>
      </c>
      <c r="BC29" t="str">
        <f t="shared" si="152"/>
        <v/>
      </c>
      <c r="BD29" t="str">
        <f t="shared" si="153"/>
        <v/>
      </c>
      <c r="BE29" t="str">
        <f t="shared" si="154"/>
        <v/>
      </c>
      <c r="BF29" t="str">
        <f t="shared" si="155"/>
        <v/>
      </c>
      <c r="BG29" t="str">
        <f t="shared" si="156"/>
        <v/>
      </c>
      <c r="BH29" t="str">
        <f t="shared" si="157"/>
        <v/>
      </c>
      <c r="BI29" t="str">
        <f t="shared" si="158"/>
        <v/>
      </c>
      <c r="BK29">
        <f t="shared" si="48"/>
        <v>1</v>
      </c>
      <c r="BL29">
        <f t="shared" si="49"/>
        <v>3</v>
      </c>
      <c r="BM29">
        <f t="shared" si="50"/>
        <v>3</v>
      </c>
      <c r="BN29">
        <f t="shared" si="51"/>
        <v>2</v>
      </c>
      <c r="BO29">
        <f t="shared" si="52"/>
        <v>0</v>
      </c>
      <c r="BP29">
        <f t="shared" si="53"/>
        <v>0</v>
      </c>
      <c r="BQ29">
        <f t="shared" si="54"/>
        <v>0</v>
      </c>
      <c r="BR29">
        <f t="shared" si="55"/>
        <v>0</v>
      </c>
      <c r="BS29">
        <f t="shared" si="56"/>
        <v>0</v>
      </c>
      <c r="BT29">
        <f t="shared" si="57"/>
        <v>0</v>
      </c>
      <c r="BU29">
        <f t="shared" si="58"/>
        <v>0</v>
      </c>
      <c r="BV29">
        <f t="shared" si="59"/>
        <v>0</v>
      </c>
      <c r="BW29">
        <f t="shared" si="60"/>
        <v>0</v>
      </c>
      <c r="BX29">
        <f t="shared" si="61"/>
        <v>0</v>
      </c>
      <c r="BY29">
        <f t="shared" si="62"/>
        <v>0</v>
      </c>
      <c r="BZ29">
        <f t="shared" si="63"/>
        <v>0</v>
      </c>
      <c r="CA29">
        <f t="shared" si="64"/>
        <v>0</v>
      </c>
      <c r="CB29">
        <f t="shared" si="65"/>
        <v>0</v>
      </c>
      <c r="CC29">
        <f t="shared" si="66"/>
        <v>0</v>
      </c>
      <c r="CE29" t="str">
        <f t="shared" si="67"/>
        <v>017</v>
      </c>
      <c r="CF29" t="str">
        <f t="shared" si="68"/>
        <v>00</v>
      </c>
      <c r="CG29" t="str">
        <f t="shared" si="68"/>
        <v>00</v>
      </c>
      <c r="CH29" t="str">
        <f t="shared" si="68"/>
        <v>00</v>
      </c>
      <c r="CI29" t="str">
        <f t="shared" si="69"/>
        <v>01</v>
      </c>
      <c r="CJ29" t="str">
        <f t="shared" si="70"/>
        <v>03</v>
      </c>
      <c r="CK29" t="str">
        <f t="shared" si="71"/>
        <v>03</v>
      </c>
      <c r="CL29" t="str">
        <f t="shared" si="72"/>
        <v>02</v>
      </c>
      <c r="CM29" t="str">
        <f t="shared" si="73"/>
        <v>00</v>
      </c>
      <c r="CN29" t="str">
        <f t="shared" si="74"/>
        <v>00</v>
      </c>
      <c r="CO29" t="str">
        <f t="shared" si="75"/>
        <v>00</v>
      </c>
      <c r="CP29" t="str">
        <f t="shared" si="76"/>
        <v>00</v>
      </c>
      <c r="CQ29" t="str">
        <f t="shared" si="77"/>
        <v>00</v>
      </c>
      <c r="CR29" t="str">
        <f t="shared" si="78"/>
        <v>00</v>
      </c>
      <c r="CS29" t="str">
        <f t="shared" si="79"/>
        <v>00</v>
      </c>
      <c r="CT29" t="str">
        <f t="shared" si="80"/>
        <v>00</v>
      </c>
      <c r="CU29" t="str">
        <f t="shared" si="81"/>
        <v>00</v>
      </c>
      <c r="CV29" t="str">
        <f t="shared" si="82"/>
        <v>00</v>
      </c>
      <c r="CW29" t="str">
        <f t="shared" si="83"/>
        <v>00</v>
      </c>
      <c r="CX29" t="str">
        <f t="shared" si="84"/>
        <v>00</v>
      </c>
      <c r="CY29" t="str">
        <f t="shared" si="85"/>
        <v>00</v>
      </c>
      <c r="CZ29" t="str">
        <f t="shared" si="86"/>
        <v>00</v>
      </c>
      <c r="DA29" t="str">
        <f t="shared" si="87"/>
        <v>00</v>
      </c>
      <c r="DB29" t="str">
        <f t="shared" si="88"/>
        <v>04</v>
      </c>
      <c r="DC29" t="str">
        <f t="shared" si="89"/>
        <v>0103030200000000000000000000000000000004</v>
      </c>
      <c r="DD29" t="str">
        <f t="shared" si="90"/>
        <v>Outside building</v>
      </c>
      <c r="DE29" t="s">
        <v>136</v>
      </c>
      <c r="DF29" t="s">
        <v>223</v>
      </c>
      <c r="DG29" t="s">
        <v>224</v>
      </c>
      <c r="DH29" t="s">
        <v>225</v>
      </c>
      <c r="DI29" t="s">
        <v>226</v>
      </c>
      <c r="DJ29" t="s">
        <v>227</v>
      </c>
      <c r="DK29" t="s">
        <v>228</v>
      </c>
      <c r="DL29" t="str">
        <f t="shared" si="91"/>
        <v>017,00,00,00,01,03,03,02,00,00,00,00,00,00,00,00,00,00,00,00,00,00,00,04,0103030200000000000000000000000000000004,Outside building,file17,Blk1,Blk2,Blk3,Blk4,Blk5,Blk6</v>
      </c>
    </row>
    <row r="30" spans="2:116" x14ac:dyDescent="0.25">
      <c r="B30">
        <f t="shared" si="92"/>
        <v>18</v>
      </c>
      <c r="F30" t="s">
        <v>25</v>
      </c>
      <c r="W30">
        <f t="shared" si="115"/>
        <v>0</v>
      </c>
      <c r="X30">
        <f t="shared" si="116"/>
        <v>0</v>
      </c>
      <c r="Y30">
        <f t="shared" si="117"/>
        <v>0</v>
      </c>
      <c r="Z30">
        <f t="shared" si="118"/>
        <v>1</v>
      </c>
      <c r="AA30">
        <f t="shared" si="119"/>
        <v>0</v>
      </c>
      <c r="AB30">
        <f t="shared" si="120"/>
        <v>0</v>
      </c>
      <c r="AC30">
        <f t="shared" si="121"/>
        <v>0</v>
      </c>
      <c r="AD30">
        <f t="shared" si="122"/>
        <v>0</v>
      </c>
      <c r="AE30">
        <f t="shared" si="123"/>
        <v>0</v>
      </c>
      <c r="AF30">
        <f t="shared" si="124"/>
        <v>0</v>
      </c>
      <c r="AG30">
        <f t="shared" si="125"/>
        <v>0</v>
      </c>
      <c r="AH30">
        <f t="shared" si="126"/>
        <v>0</v>
      </c>
      <c r="AI30">
        <f t="shared" si="127"/>
        <v>0</v>
      </c>
      <c r="AJ30">
        <f t="shared" si="128"/>
        <v>0</v>
      </c>
      <c r="AK30">
        <f t="shared" si="129"/>
        <v>0</v>
      </c>
      <c r="AL30">
        <f t="shared" si="130"/>
        <v>0</v>
      </c>
      <c r="AM30">
        <f t="shared" si="131"/>
        <v>0</v>
      </c>
      <c r="AN30">
        <f t="shared" si="132"/>
        <v>0</v>
      </c>
      <c r="AO30">
        <f t="shared" si="133"/>
        <v>0</v>
      </c>
      <c r="AP30" s="2" t="str">
        <f t="shared" si="46"/>
        <v/>
      </c>
      <c r="AQ30" t="str">
        <f t="shared" si="140"/>
        <v>S</v>
      </c>
      <c r="AR30" t="str">
        <f t="shared" si="141"/>
        <v>S</v>
      </c>
      <c r="AS30" t="str">
        <f t="shared" si="142"/>
        <v>S</v>
      </c>
      <c r="AT30" t="str">
        <f t="shared" si="143"/>
        <v>+</v>
      </c>
      <c r="AU30" t="str">
        <f t="shared" si="144"/>
        <v/>
      </c>
      <c r="AV30" t="str">
        <f t="shared" si="145"/>
        <v/>
      </c>
      <c r="AW30" t="str">
        <f t="shared" si="146"/>
        <v/>
      </c>
      <c r="AX30" t="str">
        <f t="shared" si="147"/>
        <v/>
      </c>
      <c r="AY30" t="str">
        <f t="shared" si="148"/>
        <v/>
      </c>
      <c r="AZ30" t="str">
        <f t="shared" si="149"/>
        <v/>
      </c>
      <c r="BA30" t="str">
        <f t="shared" si="150"/>
        <v/>
      </c>
      <c r="BB30" t="str">
        <f t="shared" si="151"/>
        <v/>
      </c>
      <c r="BC30" t="str">
        <f t="shared" si="152"/>
        <v/>
      </c>
      <c r="BD30" t="str">
        <f t="shared" si="153"/>
        <v/>
      </c>
      <c r="BE30" t="str">
        <f t="shared" si="154"/>
        <v/>
      </c>
      <c r="BF30" t="str">
        <f t="shared" si="155"/>
        <v/>
      </c>
      <c r="BG30" t="str">
        <f t="shared" si="156"/>
        <v/>
      </c>
      <c r="BH30" t="str">
        <f t="shared" si="157"/>
        <v/>
      </c>
      <c r="BI30" t="str">
        <f t="shared" si="158"/>
        <v/>
      </c>
      <c r="BK30">
        <f t="shared" si="48"/>
        <v>1</v>
      </c>
      <c r="BL30">
        <f t="shared" si="49"/>
        <v>3</v>
      </c>
      <c r="BM30">
        <f t="shared" si="50"/>
        <v>3</v>
      </c>
      <c r="BN30">
        <f t="shared" si="51"/>
        <v>3</v>
      </c>
      <c r="BO30">
        <f t="shared" si="52"/>
        <v>0</v>
      </c>
      <c r="BP30">
        <f t="shared" si="53"/>
        <v>0</v>
      </c>
      <c r="BQ30">
        <f t="shared" si="54"/>
        <v>0</v>
      </c>
      <c r="BR30">
        <f t="shared" si="55"/>
        <v>0</v>
      </c>
      <c r="BS30">
        <f t="shared" si="56"/>
        <v>0</v>
      </c>
      <c r="BT30">
        <f t="shared" si="57"/>
        <v>0</v>
      </c>
      <c r="BU30">
        <f t="shared" si="58"/>
        <v>0</v>
      </c>
      <c r="BV30">
        <f t="shared" si="59"/>
        <v>0</v>
      </c>
      <c r="BW30">
        <f t="shared" si="60"/>
        <v>0</v>
      </c>
      <c r="BX30">
        <f t="shared" si="61"/>
        <v>0</v>
      </c>
      <c r="BY30">
        <f t="shared" si="62"/>
        <v>0</v>
      </c>
      <c r="BZ30">
        <f t="shared" si="63"/>
        <v>0</v>
      </c>
      <c r="CA30">
        <f t="shared" si="64"/>
        <v>0</v>
      </c>
      <c r="CB30">
        <f t="shared" si="65"/>
        <v>0</v>
      </c>
      <c r="CC30">
        <f t="shared" si="66"/>
        <v>0</v>
      </c>
      <c r="CE30" t="str">
        <f t="shared" si="67"/>
        <v>018</v>
      </c>
      <c r="CF30" t="str">
        <f t="shared" si="68"/>
        <v>00</v>
      </c>
      <c r="CG30" t="str">
        <f t="shared" si="68"/>
        <v>00</v>
      </c>
      <c r="CH30" t="str">
        <f t="shared" si="68"/>
        <v>00</v>
      </c>
      <c r="CI30" t="str">
        <f t="shared" si="69"/>
        <v>01</v>
      </c>
      <c r="CJ30" t="str">
        <f t="shared" si="70"/>
        <v>03</v>
      </c>
      <c r="CK30" t="str">
        <f t="shared" si="71"/>
        <v>03</v>
      </c>
      <c r="CL30" t="str">
        <f t="shared" si="72"/>
        <v>03</v>
      </c>
      <c r="CM30" t="str">
        <f t="shared" si="73"/>
        <v>00</v>
      </c>
      <c r="CN30" t="str">
        <f t="shared" si="74"/>
        <v>00</v>
      </c>
      <c r="CO30" t="str">
        <f t="shared" si="75"/>
        <v>00</v>
      </c>
      <c r="CP30" t="str">
        <f t="shared" si="76"/>
        <v>00</v>
      </c>
      <c r="CQ30" t="str">
        <f t="shared" si="77"/>
        <v>00</v>
      </c>
      <c r="CR30" t="str">
        <f t="shared" si="78"/>
        <v>00</v>
      </c>
      <c r="CS30" t="str">
        <f t="shared" si="79"/>
        <v>00</v>
      </c>
      <c r="CT30" t="str">
        <f t="shared" si="80"/>
        <v>00</v>
      </c>
      <c r="CU30" t="str">
        <f t="shared" si="81"/>
        <v>00</v>
      </c>
      <c r="CV30" t="str">
        <f t="shared" si="82"/>
        <v>00</v>
      </c>
      <c r="CW30" t="str">
        <f t="shared" si="83"/>
        <v>00</v>
      </c>
      <c r="CX30" t="str">
        <f t="shared" si="84"/>
        <v>00</v>
      </c>
      <c r="CY30" t="str">
        <f t="shared" si="85"/>
        <v>00</v>
      </c>
      <c r="CZ30" t="str">
        <f t="shared" si="86"/>
        <v>00</v>
      </c>
      <c r="DA30" t="str">
        <f t="shared" si="87"/>
        <v>00</v>
      </c>
      <c r="DB30" t="str">
        <f t="shared" si="88"/>
        <v>04</v>
      </c>
      <c r="DC30" t="str">
        <f t="shared" si="89"/>
        <v>0103030300000000000000000000000000000004</v>
      </c>
      <c r="DD30" t="str">
        <f t="shared" si="90"/>
        <v>To another department</v>
      </c>
      <c r="DE30" t="s">
        <v>137</v>
      </c>
      <c r="DF30" t="s">
        <v>223</v>
      </c>
      <c r="DG30" t="s">
        <v>224</v>
      </c>
      <c r="DH30" t="s">
        <v>225</v>
      </c>
      <c r="DI30" t="s">
        <v>226</v>
      </c>
      <c r="DJ30" t="s">
        <v>227</v>
      </c>
      <c r="DK30" t="s">
        <v>228</v>
      </c>
      <c r="DL30" t="str">
        <f t="shared" si="91"/>
        <v>018,00,00,00,01,03,03,03,00,00,00,00,00,00,00,00,00,00,00,00,00,00,00,04,0103030300000000000000000000000000000004,To another department,file18,Blk1,Blk2,Blk3,Blk4,Blk5,Blk6</v>
      </c>
    </row>
    <row r="31" spans="2:116" x14ac:dyDescent="0.25">
      <c r="B31">
        <f t="shared" si="92"/>
        <v>19</v>
      </c>
      <c r="F31" t="s">
        <v>26</v>
      </c>
      <c r="W31">
        <f t="shared" si="115"/>
        <v>0</v>
      </c>
      <c r="X31">
        <f t="shared" si="116"/>
        <v>0</v>
      </c>
      <c r="Y31">
        <f t="shared" si="117"/>
        <v>0</v>
      </c>
      <c r="Z31">
        <f t="shared" si="118"/>
        <v>1</v>
      </c>
      <c r="AA31">
        <f t="shared" si="119"/>
        <v>0</v>
      </c>
      <c r="AB31">
        <f t="shared" si="120"/>
        <v>0</v>
      </c>
      <c r="AC31">
        <f t="shared" si="121"/>
        <v>0</v>
      </c>
      <c r="AD31">
        <f t="shared" si="122"/>
        <v>0</v>
      </c>
      <c r="AE31">
        <f t="shared" si="123"/>
        <v>0</v>
      </c>
      <c r="AF31">
        <f t="shared" si="124"/>
        <v>0</v>
      </c>
      <c r="AG31">
        <f t="shared" si="125"/>
        <v>0</v>
      </c>
      <c r="AH31">
        <f t="shared" si="126"/>
        <v>0</v>
      </c>
      <c r="AI31">
        <f t="shared" si="127"/>
        <v>0</v>
      </c>
      <c r="AJ31">
        <f t="shared" si="128"/>
        <v>0</v>
      </c>
      <c r="AK31">
        <f t="shared" si="129"/>
        <v>0</v>
      </c>
      <c r="AL31">
        <f t="shared" si="130"/>
        <v>0</v>
      </c>
      <c r="AM31">
        <f t="shared" si="131"/>
        <v>0</v>
      </c>
      <c r="AN31">
        <f t="shared" si="132"/>
        <v>0</v>
      </c>
      <c r="AO31">
        <f t="shared" si="133"/>
        <v>0</v>
      </c>
      <c r="AP31" s="2" t="str">
        <f t="shared" si="46"/>
        <v/>
      </c>
      <c r="AQ31" t="str">
        <f t="shared" si="140"/>
        <v>S</v>
      </c>
      <c r="AR31" t="str">
        <f t="shared" si="141"/>
        <v>S</v>
      </c>
      <c r="AS31" t="str">
        <f t="shared" si="142"/>
        <v>S</v>
      </c>
      <c r="AT31" t="str">
        <f t="shared" si="143"/>
        <v>+</v>
      </c>
      <c r="AU31" t="str">
        <f t="shared" si="144"/>
        <v/>
      </c>
      <c r="AV31" t="str">
        <f t="shared" si="145"/>
        <v/>
      </c>
      <c r="AW31" t="str">
        <f t="shared" si="146"/>
        <v/>
      </c>
      <c r="AX31" t="str">
        <f t="shared" si="147"/>
        <v/>
      </c>
      <c r="AY31" t="str">
        <f t="shared" si="148"/>
        <v/>
      </c>
      <c r="AZ31" t="str">
        <f t="shared" si="149"/>
        <v/>
      </c>
      <c r="BA31" t="str">
        <f t="shared" si="150"/>
        <v/>
      </c>
      <c r="BB31" t="str">
        <f t="shared" si="151"/>
        <v/>
      </c>
      <c r="BC31" t="str">
        <f t="shared" si="152"/>
        <v/>
      </c>
      <c r="BD31" t="str">
        <f t="shared" si="153"/>
        <v/>
      </c>
      <c r="BE31" t="str">
        <f t="shared" si="154"/>
        <v/>
      </c>
      <c r="BF31" t="str">
        <f t="shared" si="155"/>
        <v/>
      </c>
      <c r="BG31" t="str">
        <f t="shared" si="156"/>
        <v/>
      </c>
      <c r="BH31" t="str">
        <f t="shared" si="157"/>
        <v/>
      </c>
      <c r="BI31" t="str">
        <f t="shared" si="158"/>
        <v/>
      </c>
      <c r="BK31">
        <f t="shared" si="48"/>
        <v>1</v>
      </c>
      <c r="BL31">
        <f t="shared" si="49"/>
        <v>3</v>
      </c>
      <c r="BM31">
        <f t="shared" si="50"/>
        <v>3</v>
      </c>
      <c r="BN31">
        <f t="shared" si="51"/>
        <v>4</v>
      </c>
      <c r="BO31">
        <f t="shared" si="52"/>
        <v>0</v>
      </c>
      <c r="BP31">
        <f t="shared" si="53"/>
        <v>0</v>
      </c>
      <c r="BQ31">
        <f t="shared" si="54"/>
        <v>0</v>
      </c>
      <c r="BR31">
        <f t="shared" si="55"/>
        <v>0</v>
      </c>
      <c r="BS31">
        <f t="shared" si="56"/>
        <v>0</v>
      </c>
      <c r="BT31">
        <f t="shared" si="57"/>
        <v>0</v>
      </c>
      <c r="BU31">
        <f t="shared" si="58"/>
        <v>0</v>
      </c>
      <c r="BV31">
        <f t="shared" si="59"/>
        <v>0</v>
      </c>
      <c r="BW31">
        <f t="shared" si="60"/>
        <v>0</v>
      </c>
      <c r="BX31">
        <f t="shared" si="61"/>
        <v>0</v>
      </c>
      <c r="BY31">
        <f t="shared" si="62"/>
        <v>0</v>
      </c>
      <c r="BZ31">
        <f t="shared" si="63"/>
        <v>0</v>
      </c>
      <c r="CA31">
        <f t="shared" si="64"/>
        <v>0</v>
      </c>
      <c r="CB31">
        <f t="shared" si="65"/>
        <v>0</v>
      </c>
      <c r="CC31">
        <f t="shared" si="66"/>
        <v>0</v>
      </c>
      <c r="CE31" t="str">
        <f t="shared" si="67"/>
        <v>019</v>
      </c>
      <c r="CF31" t="str">
        <f t="shared" si="68"/>
        <v>00</v>
      </c>
      <c r="CG31" t="str">
        <f t="shared" si="68"/>
        <v>00</v>
      </c>
      <c r="CH31" t="str">
        <f t="shared" si="68"/>
        <v>00</v>
      </c>
      <c r="CI31" t="str">
        <f t="shared" si="69"/>
        <v>01</v>
      </c>
      <c r="CJ31" t="str">
        <f t="shared" si="70"/>
        <v>03</v>
      </c>
      <c r="CK31" t="str">
        <f t="shared" si="71"/>
        <v>03</v>
      </c>
      <c r="CL31" t="str">
        <f t="shared" si="72"/>
        <v>04</v>
      </c>
      <c r="CM31" t="str">
        <f t="shared" si="73"/>
        <v>00</v>
      </c>
      <c r="CN31" t="str">
        <f t="shared" si="74"/>
        <v>00</v>
      </c>
      <c r="CO31" t="str">
        <f t="shared" si="75"/>
        <v>00</v>
      </c>
      <c r="CP31" t="str">
        <f t="shared" si="76"/>
        <v>00</v>
      </c>
      <c r="CQ31" t="str">
        <f t="shared" si="77"/>
        <v>00</v>
      </c>
      <c r="CR31" t="str">
        <f t="shared" si="78"/>
        <v>00</v>
      </c>
      <c r="CS31" t="str">
        <f t="shared" si="79"/>
        <v>00</v>
      </c>
      <c r="CT31" t="str">
        <f t="shared" si="80"/>
        <v>00</v>
      </c>
      <c r="CU31" t="str">
        <f t="shared" si="81"/>
        <v>00</v>
      </c>
      <c r="CV31" t="str">
        <f t="shared" si="82"/>
        <v>00</v>
      </c>
      <c r="CW31" t="str">
        <f t="shared" si="83"/>
        <v>00</v>
      </c>
      <c r="CX31" t="str">
        <f t="shared" si="84"/>
        <v>00</v>
      </c>
      <c r="CY31" t="str">
        <f t="shared" si="85"/>
        <v>00</v>
      </c>
      <c r="CZ31" t="str">
        <f t="shared" si="86"/>
        <v>00</v>
      </c>
      <c r="DA31" t="str">
        <f t="shared" si="87"/>
        <v>00</v>
      </c>
      <c r="DB31" t="str">
        <f t="shared" si="88"/>
        <v>04</v>
      </c>
      <c r="DC31" t="str">
        <f t="shared" si="89"/>
        <v>0103030400000000000000000000000000000004</v>
      </c>
      <c r="DD31" t="str">
        <f t="shared" si="90"/>
        <v>To main store</v>
      </c>
      <c r="DE31" t="s">
        <v>138</v>
      </c>
      <c r="DF31" t="s">
        <v>223</v>
      </c>
      <c r="DG31" t="s">
        <v>224</v>
      </c>
      <c r="DH31" t="s">
        <v>225</v>
      </c>
      <c r="DI31" t="s">
        <v>226</v>
      </c>
      <c r="DJ31" t="s">
        <v>227</v>
      </c>
      <c r="DK31" t="s">
        <v>228</v>
      </c>
      <c r="DL31" t="str">
        <f t="shared" si="91"/>
        <v>019,00,00,00,01,03,03,04,00,00,00,00,00,00,00,00,00,00,00,00,00,00,00,04,0103030400000000000000000000000000000004,To main store,file19,Blk1,Blk2,Blk3,Blk4,Blk5,Blk6</v>
      </c>
    </row>
    <row r="32" spans="2:116" x14ac:dyDescent="0.25">
      <c r="B32">
        <f t="shared" si="92"/>
        <v>20</v>
      </c>
      <c r="D32" t="s">
        <v>32</v>
      </c>
      <c r="W32">
        <f t="shared" si="115"/>
        <v>0</v>
      </c>
      <c r="X32">
        <f t="shared" si="116"/>
        <v>1</v>
      </c>
      <c r="Y32">
        <f t="shared" si="117"/>
        <v>0</v>
      </c>
      <c r="Z32">
        <f t="shared" si="118"/>
        <v>0</v>
      </c>
      <c r="AA32">
        <f t="shared" si="119"/>
        <v>0</v>
      </c>
      <c r="AB32">
        <f t="shared" si="120"/>
        <v>0</v>
      </c>
      <c r="AC32">
        <f t="shared" si="121"/>
        <v>0</v>
      </c>
      <c r="AD32">
        <f t="shared" si="122"/>
        <v>0</v>
      </c>
      <c r="AE32">
        <f t="shared" si="123"/>
        <v>0</v>
      </c>
      <c r="AF32">
        <f t="shared" si="124"/>
        <v>0</v>
      </c>
      <c r="AG32">
        <f t="shared" si="125"/>
        <v>0</v>
      </c>
      <c r="AH32">
        <f t="shared" si="126"/>
        <v>0</v>
      </c>
      <c r="AI32">
        <f t="shared" si="127"/>
        <v>0</v>
      </c>
      <c r="AJ32">
        <f t="shared" si="128"/>
        <v>0</v>
      </c>
      <c r="AK32">
        <f t="shared" si="129"/>
        <v>0</v>
      </c>
      <c r="AL32">
        <f t="shared" si="130"/>
        <v>0</v>
      </c>
      <c r="AM32">
        <f t="shared" si="131"/>
        <v>0</v>
      </c>
      <c r="AN32">
        <f t="shared" si="132"/>
        <v>0</v>
      </c>
      <c r="AO32">
        <f t="shared" si="133"/>
        <v>0</v>
      </c>
      <c r="AP32" s="2" t="str">
        <f t="shared" si="46"/>
        <v/>
      </c>
      <c r="AQ32" t="str">
        <f t="shared" si="140"/>
        <v>S</v>
      </c>
      <c r="AR32" t="str">
        <f t="shared" si="141"/>
        <v>+</v>
      </c>
      <c r="AS32" t="str">
        <f t="shared" si="142"/>
        <v/>
      </c>
      <c r="AT32" t="str">
        <f t="shared" si="143"/>
        <v/>
      </c>
      <c r="AU32" t="str">
        <f t="shared" si="144"/>
        <v/>
      </c>
      <c r="AV32" t="str">
        <f t="shared" si="145"/>
        <v/>
      </c>
      <c r="AW32" t="str">
        <f t="shared" si="146"/>
        <v/>
      </c>
      <c r="AX32" t="str">
        <f t="shared" si="147"/>
        <v/>
      </c>
      <c r="AY32" t="str">
        <f t="shared" si="148"/>
        <v/>
      </c>
      <c r="AZ32" t="str">
        <f t="shared" si="149"/>
        <v/>
      </c>
      <c r="BA32" t="str">
        <f t="shared" si="150"/>
        <v/>
      </c>
      <c r="BB32" t="str">
        <f t="shared" si="151"/>
        <v/>
      </c>
      <c r="BC32" t="str">
        <f t="shared" si="152"/>
        <v/>
      </c>
      <c r="BD32" t="str">
        <f t="shared" si="153"/>
        <v/>
      </c>
      <c r="BE32" t="str">
        <f t="shared" si="154"/>
        <v/>
      </c>
      <c r="BF32" t="str">
        <f t="shared" si="155"/>
        <v/>
      </c>
      <c r="BG32" t="str">
        <f t="shared" si="156"/>
        <v/>
      </c>
      <c r="BH32" t="str">
        <f t="shared" si="157"/>
        <v/>
      </c>
      <c r="BI32" t="str">
        <f t="shared" si="158"/>
        <v/>
      </c>
      <c r="BK32">
        <f t="shared" si="48"/>
        <v>1</v>
      </c>
      <c r="BL32">
        <f t="shared" si="49"/>
        <v>4</v>
      </c>
      <c r="BM32">
        <f t="shared" si="50"/>
        <v>0</v>
      </c>
      <c r="BN32">
        <f t="shared" si="51"/>
        <v>0</v>
      </c>
      <c r="BO32">
        <f t="shared" si="52"/>
        <v>0</v>
      </c>
      <c r="BP32">
        <f t="shared" si="53"/>
        <v>0</v>
      </c>
      <c r="BQ32">
        <f t="shared" si="54"/>
        <v>0</v>
      </c>
      <c r="BR32">
        <f t="shared" si="55"/>
        <v>0</v>
      </c>
      <c r="BS32">
        <f t="shared" si="56"/>
        <v>0</v>
      </c>
      <c r="BT32">
        <f t="shared" si="57"/>
        <v>0</v>
      </c>
      <c r="BU32">
        <f t="shared" si="58"/>
        <v>0</v>
      </c>
      <c r="BV32">
        <f t="shared" si="59"/>
        <v>0</v>
      </c>
      <c r="BW32">
        <f t="shared" si="60"/>
        <v>0</v>
      </c>
      <c r="BX32">
        <f t="shared" si="61"/>
        <v>0</v>
      </c>
      <c r="BY32">
        <f t="shared" si="62"/>
        <v>0</v>
      </c>
      <c r="BZ32">
        <f t="shared" si="63"/>
        <v>0</v>
      </c>
      <c r="CA32">
        <f t="shared" si="64"/>
        <v>0</v>
      </c>
      <c r="CB32">
        <f t="shared" si="65"/>
        <v>0</v>
      </c>
      <c r="CC32">
        <f t="shared" si="66"/>
        <v>0</v>
      </c>
      <c r="CE32" t="str">
        <f t="shared" si="67"/>
        <v>020</v>
      </c>
      <c r="CF32" t="str">
        <f t="shared" si="68"/>
        <v>00</v>
      </c>
      <c r="CG32" t="str">
        <f t="shared" si="68"/>
        <v>00</v>
      </c>
      <c r="CH32" t="str">
        <f t="shared" si="68"/>
        <v>00</v>
      </c>
      <c r="CI32" t="str">
        <f t="shared" si="69"/>
        <v>01</v>
      </c>
      <c r="CJ32" t="str">
        <f t="shared" si="70"/>
        <v>04</v>
      </c>
      <c r="CK32" t="str">
        <f t="shared" si="71"/>
        <v>00</v>
      </c>
      <c r="CL32" t="str">
        <f t="shared" si="72"/>
        <v>00</v>
      </c>
      <c r="CM32" t="str">
        <f t="shared" si="73"/>
        <v>00</v>
      </c>
      <c r="CN32" t="str">
        <f t="shared" si="74"/>
        <v>00</v>
      </c>
      <c r="CO32" t="str">
        <f t="shared" si="75"/>
        <v>00</v>
      </c>
      <c r="CP32" t="str">
        <f t="shared" si="76"/>
        <v>00</v>
      </c>
      <c r="CQ32" t="str">
        <f t="shared" si="77"/>
        <v>00</v>
      </c>
      <c r="CR32" t="str">
        <f t="shared" si="78"/>
        <v>00</v>
      </c>
      <c r="CS32" t="str">
        <f t="shared" si="79"/>
        <v>00</v>
      </c>
      <c r="CT32" t="str">
        <f t="shared" si="80"/>
        <v>00</v>
      </c>
      <c r="CU32" t="str">
        <f t="shared" si="81"/>
        <v>00</v>
      </c>
      <c r="CV32" t="str">
        <f t="shared" si="82"/>
        <v>00</v>
      </c>
      <c r="CW32" t="str">
        <f t="shared" si="83"/>
        <v>00</v>
      </c>
      <c r="CX32" t="str">
        <f t="shared" si="84"/>
        <v>00</v>
      </c>
      <c r="CY32" t="str">
        <f t="shared" si="85"/>
        <v>00</v>
      </c>
      <c r="CZ32" t="str">
        <f t="shared" si="86"/>
        <v>00</v>
      </c>
      <c r="DA32" t="str">
        <f t="shared" si="87"/>
        <v>00</v>
      </c>
      <c r="DB32" t="str">
        <f t="shared" si="88"/>
        <v>02</v>
      </c>
      <c r="DC32" t="str">
        <f t="shared" si="89"/>
        <v>0104000000000000000000000000000000000002</v>
      </c>
      <c r="DD32" t="str">
        <f t="shared" si="90"/>
        <v>Requests</v>
      </c>
      <c r="DE32" t="s">
        <v>139</v>
      </c>
      <c r="DF32" t="s">
        <v>223</v>
      </c>
      <c r="DG32" t="s">
        <v>224</v>
      </c>
      <c r="DH32" t="s">
        <v>225</v>
      </c>
      <c r="DI32" t="s">
        <v>226</v>
      </c>
      <c r="DJ32" t="s">
        <v>227</v>
      </c>
      <c r="DK32" t="s">
        <v>228</v>
      </c>
      <c r="DL32" t="str">
        <f t="shared" si="91"/>
        <v>020,00,00,00,01,04,00,00,00,00,00,00,00,00,00,00,00,00,00,00,00,00,00,02,0104000000000000000000000000000000000002,Requests,file20,Blk1,Blk2,Blk3,Blk4,Blk5,Blk6</v>
      </c>
    </row>
    <row r="33" spans="2:116" x14ac:dyDescent="0.25">
      <c r="B33">
        <f t="shared" si="92"/>
        <v>21</v>
      </c>
      <c r="E33" t="s">
        <v>35</v>
      </c>
      <c r="W33">
        <f t="shared" si="115"/>
        <v>0</v>
      </c>
      <c r="X33">
        <f t="shared" si="116"/>
        <v>0</v>
      </c>
      <c r="Y33">
        <f t="shared" si="117"/>
        <v>1</v>
      </c>
      <c r="Z33">
        <f t="shared" si="118"/>
        <v>0</v>
      </c>
      <c r="AA33">
        <f t="shared" si="119"/>
        <v>0</v>
      </c>
      <c r="AB33">
        <f t="shared" si="120"/>
        <v>0</v>
      </c>
      <c r="AC33">
        <f t="shared" si="121"/>
        <v>0</v>
      </c>
      <c r="AD33">
        <f t="shared" si="122"/>
        <v>0</v>
      </c>
      <c r="AE33">
        <f t="shared" si="123"/>
        <v>0</v>
      </c>
      <c r="AF33">
        <f t="shared" si="124"/>
        <v>0</v>
      </c>
      <c r="AG33">
        <f t="shared" si="125"/>
        <v>0</v>
      </c>
      <c r="AH33">
        <f t="shared" si="126"/>
        <v>0</v>
      </c>
      <c r="AI33">
        <f t="shared" si="127"/>
        <v>0</v>
      </c>
      <c r="AJ33">
        <f t="shared" si="128"/>
        <v>0</v>
      </c>
      <c r="AK33">
        <f t="shared" si="129"/>
        <v>0</v>
      </c>
      <c r="AL33">
        <f t="shared" si="130"/>
        <v>0</v>
      </c>
      <c r="AM33">
        <f t="shared" si="131"/>
        <v>0</v>
      </c>
      <c r="AN33">
        <f t="shared" si="132"/>
        <v>0</v>
      </c>
      <c r="AO33">
        <f t="shared" si="133"/>
        <v>0</v>
      </c>
      <c r="AP33" s="2" t="str">
        <f t="shared" si="46"/>
        <v/>
      </c>
      <c r="AQ33" t="str">
        <f t="shared" si="140"/>
        <v>S</v>
      </c>
      <c r="AR33" t="str">
        <f t="shared" si="141"/>
        <v>S</v>
      </c>
      <c r="AS33">
        <f t="shared" si="142"/>
        <v>1</v>
      </c>
      <c r="AT33" t="str">
        <f t="shared" si="143"/>
        <v/>
      </c>
      <c r="AU33" t="str">
        <f t="shared" si="144"/>
        <v/>
      </c>
      <c r="AV33" t="str">
        <f t="shared" si="145"/>
        <v/>
      </c>
      <c r="AW33" t="str">
        <f t="shared" si="146"/>
        <v/>
      </c>
      <c r="AX33" t="str">
        <f t="shared" si="147"/>
        <v/>
      </c>
      <c r="AY33" t="str">
        <f t="shared" si="148"/>
        <v/>
      </c>
      <c r="AZ33" t="str">
        <f t="shared" si="149"/>
        <v/>
      </c>
      <c r="BA33" t="str">
        <f t="shared" si="150"/>
        <v/>
      </c>
      <c r="BB33" t="str">
        <f t="shared" si="151"/>
        <v/>
      </c>
      <c r="BC33" t="str">
        <f t="shared" si="152"/>
        <v/>
      </c>
      <c r="BD33" t="str">
        <f t="shared" si="153"/>
        <v/>
      </c>
      <c r="BE33" t="str">
        <f t="shared" si="154"/>
        <v/>
      </c>
      <c r="BF33" t="str">
        <f t="shared" si="155"/>
        <v/>
      </c>
      <c r="BG33" t="str">
        <f t="shared" si="156"/>
        <v/>
      </c>
      <c r="BH33" t="str">
        <f t="shared" si="157"/>
        <v/>
      </c>
      <c r="BI33" t="str">
        <f t="shared" si="158"/>
        <v/>
      </c>
      <c r="BK33">
        <f t="shared" si="48"/>
        <v>1</v>
      </c>
      <c r="BL33">
        <f t="shared" si="49"/>
        <v>4</v>
      </c>
      <c r="BM33">
        <f t="shared" si="50"/>
        <v>1</v>
      </c>
      <c r="BN33">
        <f t="shared" si="51"/>
        <v>0</v>
      </c>
      <c r="BO33">
        <f t="shared" si="52"/>
        <v>0</v>
      </c>
      <c r="BP33">
        <f t="shared" si="53"/>
        <v>0</v>
      </c>
      <c r="BQ33">
        <f t="shared" si="54"/>
        <v>0</v>
      </c>
      <c r="BR33">
        <f t="shared" si="55"/>
        <v>0</v>
      </c>
      <c r="BS33">
        <f t="shared" si="56"/>
        <v>0</v>
      </c>
      <c r="BT33">
        <f t="shared" si="57"/>
        <v>0</v>
      </c>
      <c r="BU33">
        <f t="shared" si="58"/>
        <v>0</v>
      </c>
      <c r="BV33">
        <f t="shared" si="59"/>
        <v>0</v>
      </c>
      <c r="BW33">
        <f t="shared" si="60"/>
        <v>0</v>
      </c>
      <c r="BX33">
        <f t="shared" si="61"/>
        <v>0</v>
      </c>
      <c r="BY33">
        <f t="shared" si="62"/>
        <v>0</v>
      </c>
      <c r="BZ33">
        <f t="shared" si="63"/>
        <v>0</v>
      </c>
      <c r="CA33">
        <f t="shared" si="64"/>
        <v>0</v>
      </c>
      <c r="CB33">
        <f t="shared" si="65"/>
        <v>0</v>
      </c>
      <c r="CC33">
        <f t="shared" si="66"/>
        <v>0</v>
      </c>
      <c r="CE33" t="str">
        <f t="shared" si="67"/>
        <v>021</v>
      </c>
      <c r="CF33" t="str">
        <f t="shared" si="68"/>
        <v>00</v>
      </c>
      <c r="CG33" t="str">
        <f t="shared" si="68"/>
        <v>00</v>
      </c>
      <c r="CH33" t="str">
        <f t="shared" si="68"/>
        <v>00</v>
      </c>
      <c r="CI33" t="str">
        <f t="shared" si="69"/>
        <v>01</v>
      </c>
      <c r="CJ33" t="str">
        <f t="shared" si="70"/>
        <v>04</v>
      </c>
      <c r="CK33" t="str">
        <f t="shared" si="71"/>
        <v>01</v>
      </c>
      <c r="CL33" t="str">
        <f t="shared" si="72"/>
        <v>00</v>
      </c>
      <c r="CM33" t="str">
        <f t="shared" si="73"/>
        <v>00</v>
      </c>
      <c r="CN33" t="str">
        <f t="shared" si="74"/>
        <v>00</v>
      </c>
      <c r="CO33" t="str">
        <f t="shared" si="75"/>
        <v>00</v>
      </c>
      <c r="CP33" t="str">
        <f t="shared" si="76"/>
        <v>00</v>
      </c>
      <c r="CQ33" t="str">
        <f t="shared" si="77"/>
        <v>00</v>
      </c>
      <c r="CR33" t="str">
        <f t="shared" si="78"/>
        <v>00</v>
      </c>
      <c r="CS33" t="str">
        <f t="shared" si="79"/>
        <v>00</v>
      </c>
      <c r="CT33" t="str">
        <f t="shared" si="80"/>
        <v>00</v>
      </c>
      <c r="CU33" t="str">
        <f t="shared" si="81"/>
        <v>00</v>
      </c>
      <c r="CV33" t="str">
        <f t="shared" si="82"/>
        <v>00</v>
      </c>
      <c r="CW33" t="str">
        <f t="shared" si="83"/>
        <v>00</v>
      </c>
      <c r="CX33" t="str">
        <f t="shared" si="84"/>
        <v>00</v>
      </c>
      <c r="CY33" t="str">
        <f t="shared" si="85"/>
        <v>00</v>
      </c>
      <c r="CZ33" t="str">
        <f t="shared" si="86"/>
        <v>00</v>
      </c>
      <c r="DA33" t="str">
        <f t="shared" si="87"/>
        <v>00</v>
      </c>
      <c r="DB33" t="str">
        <f t="shared" si="88"/>
        <v>03</v>
      </c>
      <c r="DC33" t="str">
        <f t="shared" si="89"/>
        <v>0104010000000000000000000000000000000003</v>
      </c>
      <c r="DD33" t="str">
        <f t="shared" si="90"/>
        <v>Request pertama</v>
      </c>
      <c r="DE33" t="s">
        <v>140</v>
      </c>
      <c r="DF33" t="s">
        <v>223</v>
      </c>
      <c r="DG33" t="s">
        <v>224</v>
      </c>
      <c r="DH33" t="s">
        <v>225</v>
      </c>
      <c r="DI33" t="s">
        <v>226</v>
      </c>
      <c r="DJ33" t="s">
        <v>227</v>
      </c>
      <c r="DK33" t="s">
        <v>228</v>
      </c>
      <c r="DL33" t="str">
        <f t="shared" si="91"/>
        <v>021,00,00,00,01,04,01,00,00,00,00,00,00,00,00,00,00,00,00,00,00,00,00,03,0104010000000000000000000000000000000003,Request pertama,file21,Blk1,Blk2,Blk3,Blk4,Blk5,Blk6</v>
      </c>
    </row>
    <row r="34" spans="2:116" x14ac:dyDescent="0.25">
      <c r="B34">
        <f t="shared" si="92"/>
        <v>22</v>
      </c>
      <c r="E34" t="s">
        <v>36</v>
      </c>
      <c r="W34">
        <f t="shared" si="115"/>
        <v>0</v>
      </c>
      <c r="X34">
        <f t="shared" si="116"/>
        <v>0</v>
      </c>
      <c r="Y34">
        <f t="shared" si="117"/>
        <v>1</v>
      </c>
      <c r="Z34">
        <f t="shared" si="118"/>
        <v>0</v>
      </c>
      <c r="AA34">
        <f t="shared" si="119"/>
        <v>0</v>
      </c>
      <c r="AB34">
        <f t="shared" si="120"/>
        <v>0</v>
      </c>
      <c r="AC34">
        <f t="shared" si="121"/>
        <v>0</v>
      </c>
      <c r="AD34">
        <f t="shared" si="122"/>
        <v>0</v>
      </c>
      <c r="AE34">
        <f t="shared" si="123"/>
        <v>0</v>
      </c>
      <c r="AF34">
        <f t="shared" si="124"/>
        <v>0</v>
      </c>
      <c r="AG34">
        <f t="shared" si="125"/>
        <v>0</v>
      </c>
      <c r="AH34">
        <f t="shared" si="126"/>
        <v>0</v>
      </c>
      <c r="AI34">
        <f t="shared" si="127"/>
        <v>0</v>
      </c>
      <c r="AJ34">
        <f t="shared" si="128"/>
        <v>0</v>
      </c>
      <c r="AK34">
        <f t="shared" si="129"/>
        <v>0</v>
      </c>
      <c r="AL34">
        <f t="shared" si="130"/>
        <v>0</v>
      </c>
      <c r="AM34">
        <f t="shared" si="131"/>
        <v>0</v>
      </c>
      <c r="AN34">
        <f t="shared" si="132"/>
        <v>0</v>
      </c>
      <c r="AO34">
        <f t="shared" si="133"/>
        <v>0</v>
      </c>
      <c r="AP34" s="2" t="str">
        <f t="shared" si="46"/>
        <v/>
      </c>
      <c r="AQ34" t="str">
        <f t="shared" si="140"/>
        <v>S</v>
      </c>
      <c r="AR34" t="str">
        <f t="shared" si="141"/>
        <v>S</v>
      </c>
      <c r="AS34" t="str">
        <f t="shared" si="142"/>
        <v>+</v>
      </c>
      <c r="AT34" t="str">
        <f t="shared" si="143"/>
        <v/>
      </c>
      <c r="AU34" t="str">
        <f t="shared" si="144"/>
        <v/>
      </c>
      <c r="AV34" t="str">
        <f t="shared" si="145"/>
        <v/>
      </c>
      <c r="AW34" t="str">
        <f t="shared" si="146"/>
        <v/>
      </c>
      <c r="AX34" t="str">
        <f t="shared" si="147"/>
        <v/>
      </c>
      <c r="AY34" t="str">
        <f t="shared" si="148"/>
        <v/>
      </c>
      <c r="AZ34" t="str">
        <f t="shared" si="149"/>
        <v/>
      </c>
      <c r="BA34" t="str">
        <f t="shared" si="150"/>
        <v/>
      </c>
      <c r="BB34" t="str">
        <f t="shared" si="151"/>
        <v/>
      </c>
      <c r="BC34" t="str">
        <f t="shared" si="152"/>
        <v/>
      </c>
      <c r="BD34" t="str">
        <f t="shared" si="153"/>
        <v/>
      </c>
      <c r="BE34" t="str">
        <f t="shared" si="154"/>
        <v/>
      </c>
      <c r="BF34" t="str">
        <f t="shared" si="155"/>
        <v/>
      </c>
      <c r="BG34" t="str">
        <f t="shared" si="156"/>
        <v/>
      </c>
      <c r="BH34" t="str">
        <f t="shared" si="157"/>
        <v/>
      </c>
      <c r="BI34" t="str">
        <f t="shared" si="158"/>
        <v/>
      </c>
      <c r="BK34">
        <f t="shared" si="48"/>
        <v>1</v>
      </c>
      <c r="BL34">
        <f t="shared" si="49"/>
        <v>4</v>
      </c>
      <c r="BM34">
        <f t="shared" si="50"/>
        <v>2</v>
      </c>
      <c r="BN34">
        <f t="shared" si="51"/>
        <v>0</v>
      </c>
      <c r="BO34">
        <f t="shared" si="52"/>
        <v>0</v>
      </c>
      <c r="BP34">
        <f t="shared" si="53"/>
        <v>0</v>
      </c>
      <c r="BQ34">
        <f t="shared" si="54"/>
        <v>0</v>
      </c>
      <c r="BR34">
        <f t="shared" si="55"/>
        <v>0</v>
      </c>
      <c r="BS34">
        <f t="shared" si="56"/>
        <v>0</v>
      </c>
      <c r="BT34">
        <f t="shared" si="57"/>
        <v>0</v>
      </c>
      <c r="BU34">
        <f t="shared" si="58"/>
        <v>0</v>
      </c>
      <c r="BV34">
        <f t="shared" si="59"/>
        <v>0</v>
      </c>
      <c r="BW34">
        <f t="shared" si="60"/>
        <v>0</v>
      </c>
      <c r="BX34">
        <f t="shared" si="61"/>
        <v>0</v>
      </c>
      <c r="BY34">
        <f t="shared" si="62"/>
        <v>0</v>
      </c>
      <c r="BZ34">
        <f t="shared" si="63"/>
        <v>0</v>
      </c>
      <c r="CA34">
        <f t="shared" si="64"/>
        <v>0</v>
      </c>
      <c r="CB34">
        <f t="shared" si="65"/>
        <v>0</v>
      </c>
      <c r="CC34">
        <f t="shared" si="66"/>
        <v>0</v>
      </c>
      <c r="CE34" t="str">
        <f t="shared" si="67"/>
        <v>022</v>
      </c>
      <c r="CF34" t="str">
        <f t="shared" si="68"/>
        <v>00</v>
      </c>
      <c r="CG34" t="str">
        <f t="shared" si="68"/>
        <v>00</v>
      </c>
      <c r="CH34" t="str">
        <f t="shared" si="68"/>
        <v>00</v>
      </c>
      <c r="CI34" t="str">
        <f t="shared" si="69"/>
        <v>01</v>
      </c>
      <c r="CJ34" t="str">
        <f t="shared" si="70"/>
        <v>04</v>
      </c>
      <c r="CK34" t="str">
        <f t="shared" si="71"/>
        <v>02</v>
      </c>
      <c r="CL34" t="str">
        <f t="shared" si="72"/>
        <v>00</v>
      </c>
      <c r="CM34" t="str">
        <f t="shared" si="73"/>
        <v>00</v>
      </c>
      <c r="CN34" t="str">
        <f t="shared" si="74"/>
        <v>00</v>
      </c>
      <c r="CO34" t="str">
        <f t="shared" si="75"/>
        <v>00</v>
      </c>
      <c r="CP34" t="str">
        <f t="shared" si="76"/>
        <v>00</v>
      </c>
      <c r="CQ34" t="str">
        <f t="shared" si="77"/>
        <v>00</v>
      </c>
      <c r="CR34" t="str">
        <f t="shared" si="78"/>
        <v>00</v>
      </c>
      <c r="CS34" t="str">
        <f t="shared" si="79"/>
        <v>00</v>
      </c>
      <c r="CT34" t="str">
        <f t="shared" si="80"/>
        <v>00</v>
      </c>
      <c r="CU34" t="str">
        <f t="shared" si="81"/>
        <v>00</v>
      </c>
      <c r="CV34" t="str">
        <f t="shared" si="82"/>
        <v>00</v>
      </c>
      <c r="CW34" t="str">
        <f t="shared" si="83"/>
        <v>00</v>
      </c>
      <c r="CX34" t="str">
        <f t="shared" si="84"/>
        <v>00</v>
      </c>
      <c r="CY34" t="str">
        <f t="shared" si="85"/>
        <v>00</v>
      </c>
      <c r="CZ34" t="str">
        <f t="shared" si="86"/>
        <v>00</v>
      </c>
      <c r="DA34" t="str">
        <f t="shared" si="87"/>
        <v>00</v>
      </c>
      <c r="DB34" t="str">
        <f t="shared" si="88"/>
        <v>03</v>
      </c>
      <c r="DC34" t="str">
        <f t="shared" si="89"/>
        <v>0104020000000000000000000000000000000003</v>
      </c>
      <c r="DD34" t="str">
        <f t="shared" si="90"/>
        <v>Request kedua</v>
      </c>
      <c r="DE34" t="s">
        <v>141</v>
      </c>
      <c r="DF34" t="s">
        <v>223</v>
      </c>
      <c r="DG34" t="s">
        <v>224</v>
      </c>
      <c r="DH34" t="s">
        <v>225</v>
      </c>
      <c r="DI34" t="s">
        <v>226</v>
      </c>
      <c r="DJ34" t="s">
        <v>227</v>
      </c>
      <c r="DK34" t="s">
        <v>228</v>
      </c>
      <c r="DL34" t="str">
        <f t="shared" si="91"/>
        <v>022,00,00,00,01,04,02,00,00,00,00,00,00,00,00,00,00,00,00,00,00,00,00,03,0104020000000000000000000000000000000003,Request kedua,file22,Blk1,Blk2,Blk3,Blk4,Blk5,Blk6</v>
      </c>
    </row>
    <row r="35" spans="2:116" x14ac:dyDescent="0.25">
      <c r="B35">
        <f t="shared" si="92"/>
        <v>23</v>
      </c>
      <c r="F35" t="s">
        <v>36</v>
      </c>
      <c r="W35">
        <f t="shared" si="115"/>
        <v>0</v>
      </c>
      <c r="X35">
        <f t="shared" si="116"/>
        <v>0</v>
      </c>
      <c r="Y35">
        <f t="shared" si="117"/>
        <v>0</v>
      </c>
      <c r="Z35">
        <f t="shared" si="118"/>
        <v>1</v>
      </c>
      <c r="AA35">
        <f t="shared" si="119"/>
        <v>0</v>
      </c>
      <c r="AB35">
        <f t="shared" si="120"/>
        <v>0</v>
      </c>
      <c r="AC35">
        <f t="shared" si="121"/>
        <v>0</v>
      </c>
      <c r="AD35">
        <f t="shared" si="122"/>
        <v>0</v>
      </c>
      <c r="AE35">
        <f t="shared" si="123"/>
        <v>0</v>
      </c>
      <c r="AF35">
        <f t="shared" si="124"/>
        <v>0</v>
      </c>
      <c r="AG35">
        <f t="shared" si="125"/>
        <v>0</v>
      </c>
      <c r="AH35">
        <f t="shared" si="126"/>
        <v>0</v>
      </c>
      <c r="AI35">
        <f t="shared" si="127"/>
        <v>0</v>
      </c>
      <c r="AJ35">
        <f t="shared" si="128"/>
        <v>0</v>
      </c>
      <c r="AK35">
        <f t="shared" si="129"/>
        <v>0</v>
      </c>
      <c r="AL35">
        <f t="shared" si="130"/>
        <v>0</v>
      </c>
      <c r="AM35">
        <f t="shared" si="131"/>
        <v>0</v>
      </c>
      <c r="AN35">
        <f t="shared" si="132"/>
        <v>0</v>
      </c>
      <c r="AO35">
        <f t="shared" si="133"/>
        <v>0</v>
      </c>
      <c r="AP35" s="2" t="str">
        <f t="shared" si="46"/>
        <v/>
      </c>
      <c r="AQ35" t="str">
        <f t="shared" si="140"/>
        <v>S</v>
      </c>
      <c r="AR35" t="str">
        <f t="shared" si="141"/>
        <v>S</v>
      </c>
      <c r="AS35" t="str">
        <f t="shared" si="142"/>
        <v>S</v>
      </c>
      <c r="AT35">
        <f t="shared" si="143"/>
        <v>1</v>
      </c>
      <c r="AU35" t="str">
        <f t="shared" si="144"/>
        <v/>
      </c>
      <c r="AV35" t="str">
        <f t="shared" si="145"/>
        <v/>
      </c>
      <c r="AW35" t="str">
        <f t="shared" si="146"/>
        <v/>
      </c>
      <c r="AX35" t="str">
        <f t="shared" si="147"/>
        <v/>
      </c>
      <c r="AY35" t="str">
        <f t="shared" si="148"/>
        <v/>
      </c>
      <c r="AZ35" t="str">
        <f t="shared" si="149"/>
        <v/>
      </c>
      <c r="BA35" t="str">
        <f t="shared" si="150"/>
        <v/>
      </c>
      <c r="BB35" t="str">
        <f t="shared" si="151"/>
        <v/>
      </c>
      <c r="BC35" t="str">
        <f t="shared" si="152"/>
        <v/>
      </c>
      <c r="BD35" t="str">
        <f t="shared" si="153"/>
        <v/>
      </c>
      <c r="BE35" t="str">
        <f t="shared" si="154"/>
        <v/>
      </c>
      <c r="BF35" t="str">
        <f t="shared" si="155"/>
        <v/>
      </c>
      <c r="BG35" t="str">
        <f t="shared" si="156"/>
        <v/>
      </c>
      <c r="BH35" t="str">
        <f t="shared" si="157"/>
        <v/>
      </c>
      <c r="BI35" t="str">
        <f t="shared" si="158"/>
        <v/>
      </c>
      <c r="BK35">
        <f t="shared" si="48"/>
        <v>1</v>
      </c>
      <c r="BL35">
        <f t="shared" si="49"/>
        <v>4</v>
      </c>
      <c r="BM35">
        <f t="shared" si="50"/>
        <v>2</v>
      </c>
      <c r="BN35">
        <f t="shared" si="51"/>
        <v>1</v>
      </c>
      <c r="BO35">
        <f t="shared" si="52"/>
        <v>0</v>
      </c>
      <c r="BP35">
        <f t="shared" si="53"/>
        <v>0</v>
      </c>
      <c r="BQ35">
        <f t="shared" si="54"/>
        <v>0</v>
      </c>
      <c r="BR35">
        <f t="shared" si="55"/>
        <v>0</v>
      </c>
      <c r="BS35">
        <f t="shared" si="56"/>
        <v>0</v>
      </c>
      <c r="BT35">
        <f t="shared" si="57"/>
        <v>0</v>
      </c>
      <c r="BU35">
        <f t="shared" si="58"/>
        <v>0</v>
      </c>
      <c r="BV35">
        <f t="shared" si="59"/>
        <v>0</v>
      </c>
      <c r="BW35">
        <f t="shared" si="60"/>
        <v>0</v>
      </c>
      <c r="BX35">
        <f t="shared" si="61"/>
        <v>0</v>
      </c>
      <c r="BY35">
        <f t="shared" si="62"/>
        <v>0</v>
      </c>
      <c r="BZ35">
        <f t="shared" si="63"/>
        <v>0</v>
      </c>
      <c r="CA35">
        <f t="shared" si="64"/>
        <v>0</v>
      </c>
      <c r="CB35">
        <f t="shared" si="65"/>
        <v>0</v>
      </c>
      <c r="CC35">
        <f t="shared" si="66"/>
        <v>0</v>
      </c>
      <c r="CE35" t="str">
        <f t="shared" si="67"/>
        <v>023</v>
      </c>
      <c r="CF35" t="str">
        <f t="shared" si="68"/>
        <v>00</v>
      </c>
      <c r="CG35" t="str">
        <f t="shared" si="68"/>
        <v>00</v>
      </c>
      <c r="CH35" t="str">
        <f t="shared" si="68"/>
        <v>00</v>
      </c>
      <c r="CI35" t="str">
        <f t="shared" si="69"/>
        <v>01</v>
      </c>
      <c r="CJ35" t="str">
        <f t="shared" si="70"/>
        <v>04</v>
      </c>
      <c r="CK35" t="str">
        <f t="shared" si="71"/>
        <v>02</v>
      </c>
      <c r="CL35" t="str">
        <f t="shared" si="72"/>
        <v>01</v>
      </c>
      <c r="CM35" t="str">
        <f t="shared" si="73"/>
        <v>00</v>
      </c>
      <c r="CN35" t="str">
        <f t="shared" si="74"/>
        <v>00</v>
      </c>
      <c r="CO35" t="str">
        <f t="shared" si="75"/>
        <v>00</v>
      </c>
      <c r="CP35" t="str">
        <f t="shared" si="76"/>
        <v>00</v>
      </c>
      <c r="CQ35" t="str">
        <f t="shared" si="77"/>
        <v>00</v>
      </c>
      <c r="CR35" t="str">
        <f t="shared" si="78"/>
        <v>00</v>
      </c>
      <c r="CS35" t="str">
        <f t="shared" si="79"/>
        <v>00</v>
      </c>
      <c r="CT35" t="str">
        <f t="shared" si="80"/>
        <v>00</v>
      </c>
      <c r="CU35" t="str">
        <f t="shared" si="81"/>
        <v>00</v>
      </c>
      <c r="CV35" t="str">
        <f t="shared" si="82"/>
        <v>00</v>
      </c>
      <c r="CW35" t="str">
        <f t="shared" si="83"/>
        <v>00</v>
      </c>
      <c r="CX35" t="str">
        <f t="shared" si="84"/>
        <v>00</v>
      </c>
      <c r="CY35" t="str">
        <f t="shared" si="85"/>
        <v>00</v>
      </c>
      <c r="CZ35" t="str">
        <f t="shared" si="86"/>
        <v>00</v>
      </c>
      <c r="DA35" t="str">
        <f t="shared" si="87"/>
        <v>00</v>
      </c>
      <c r="DB35" t="str">
        <f t="shared" si="88"/>
        <v>04</v>
      </c>
      <c r="DC35" t="str">
        <f t="shared" si="89"/>
        <v>0104020100000000000000000000000000000004</v>
      </c>
      <c r="DD35" t="str">
        <f t="shared" si="90"/>
        <v>Request kedua</v>
      </c>
      <c r="DE35" t="s">
        <v>142</v>
      </c>
      <c r="DF35" t="s">
        <v>223</v>
      </c>
      <c r="DG35" t="s">
        <v>224</v>
      </c>
      <c r="DH35" t="s">
        <v>225</v>
      </c>
      <c r="DI35" t="s">
        <v>226</v>
      </c>
      <c r="DJ35" t="s">
        <v>227</v>
      </c>
      <c r="DK35" t="s">
        <v>228</v>
      </c>
      <c r="DL35" t="str">
        <f t="shared" si="91"/>
        <v>023,00,00,00,01,04,02,01,00,00,00,00,00,00,00,00,00,00,00,00,00,00,00,04,0104020100000000000000000000000000000004,Request kedua,file23,Blk1,Blk2,Blk3,Blk4,Blk5,Blk6</v>
      </c>
    </row>
    <row r="36" spans="2:116" x14ac:dyDescent="0.25">
      <c r="B36">
        <f t="shared" si="92"/>
        <v>24</v>
      </c>
      <c r="F36" t="s">
        <v>37</v>
      </c>
      <c r="W36">
        <f t="shared" si="115"/>
        <v>0</v>
      </c>
      <c r="X36">
        <f t="shared" si="116"/>
        <v>0</v>
      </c>
      <c r="Y36">
        <f t="shared" si="117"/>
        <v>0</v>
      </c>
      <c r="Z36">
        <f t="shared" si="118"/>
        <v>1</v>
      </c>
      <c r="AA36">
        <f t="shared" si="119"/>
        <v>0</v>
      </c>
      <c r="AB36">
        <f t="shared" si="120"/>
        <v>0</v>
      </c>
      <c r="AC36">
        <f t="shared" si="121"/>
        <v>0</v>
      </c>
      <c r="AD36">
        <f t="shared" si="122"/>
        <v>0</v>
      </c>
      <c r="AE36">
        <f t="shared" si="123"/>
        <v>0</v>
      </c>
      <c r="AF36">
        <f t="shared" si="124"/>
        <v>0</v>
      </c>
      <c r="AG36">
        <f t="shared" si="125"/>
        <v>0</v>
      </c>
      <c r="AH36">
        <f t="shared" si="126"/>
        <v>0</v>
      </c>
      <c r="AI36">
        <f t="shared" si="127"/>
        <v>0</v>
      </c>
      <c r="AJ36">
        <f t="shared" si="128"/>
        <v>0</v>
      </c>
      <c r="AK36">
        <f t="shared" si="129"/>
        <v>0</v>
      </c>
      <c r="AL36">
        <f t="shared" si="130"/>
        <v>0</v>
      </c>
      <c r="AM36">
        <f t="shared" si="131"/>
        <v>0</v>
      </c>
      <c r="AN36">
        <f t="shared" si="132"/>
        <v>0</v>
      </c>
      <c r="AO36">
        <f t="shared" si="133"/>
        <v>0</v>
      </c>
      <c r="AP36" s="2" t="str">
        <f t="shared" si="46"/>
        <v/>
      </c>
      <c r="AQ36" t="str">
        <f t="shared" si="140"/>
        <v>S</v>
      </c>
      <c r="AR36" t="str">
        <f t="shared" si="141"/>
        <v>S</v>
      </c>
      <c r="AS36" t="str">
        <f t="shared" si="142"/>
        <v>S</v>
      </c>
      <c r="AT36" t="str">
        <f t="shared" si="143"/>
        <v>+</v>
      </c>
      <c r="AU36" t="str">
        <f t="shared" si="144"/>
        <v/>
      </c>
      <c r="AV36" t="str">
        <f t="shared" si="145"/>
        <v/>
      </c>
      <c r="AW36" t="str">
        <f t="shared" si="146"/>
        <v/>
      </c>
      <c r="AX36" t="str">
        <f t="shared" si="147"/>
        <v/>
      </c>
      <c r="AY36" t="str">
        <f t="shared" si="148"/>
        <v/>
      </c>
      <c r="AZ36" t="str">
        <f t="shared" si="149"/>
        <v/>
      </c>
      <c r="BA36" t="str">
        <f t="shared" si="150"/>
        <v/>
      </c>
      <c r="BB36" t="str">
        <f t="shared" si="151"/>
        <v/>
      </c>
      <c r="BC36" t="str">
        <f t="shared" si="152"/>
        <v/>
      </c>
      <c r="BD36" t="str">
        <f t="shared" si="153"/>
        <v/>
      </c>
      <c r="BE36" t="str">
        <f t="shared" si="154"/>
        <v/>
      </c>
      <c r="BF36" t="str">
        <f t="shared" si="155"/>
        <v/>
      </c>
      <c r="BG36" t="str">
        <f t="shared" si="156"/>
        <v/>
      </c>
      <c r="BH36" t="str">
        <f t="shared" si="157"/>
        <v/>
      </c>
      <c r="BI36" t="str">
        <f t="shared" si="158"/>
        <v/>
      </c>
      <c r="BK36">
        <f t="shared" si="48"/>
        <v>1</v>
      </c>
      <c r="BL36">
        <f t="shared" si="49"/>
        <v>4</v>
      </c>
      <c r="BM36">
        <f t="shared" si="50"/>
        <v>2</v>
      </c>
      <c r="BN36">
        <f t="shared" si="51"/>
        <v>2</v>
      </c>
      <c r="BO36">
        <f t="shared" si="52"/>
        <v>0</v>
      </c>
      <c r="BP36">
        <f t="shared" si="53"/>
        <v>0</v>
      </c>
      <c r="BQ36">
        <f t="shared" si="54"/>
        <v>0</v>
      </c>
      <c r="BR36">
        <f t="shared" si="55"/>
        <v>0</v>
      </c>
      <c r="BS36">
        <f t="shared" si="56"/>
        <v>0</v>
      </c>
      <c r="BT36">
        <f t="shared" si="57"/>
        <v>0</v>
      </c>
      <c r="BU36">
        <f t="shared" si="58"/>
        <v>0</v>
      </c>
      <c r="BV36">
        <f t="shared" si="59"/>
        <v>0</v>
      </c>
      <c r="BW36">
        <f t="shared" si="60"/>
        <v>0</v>
      </c>
      <c r="BX36">
        <f t="shared" si="61"/>
        <v>0</v>
      </c>
      <c r="BY36">
        <f t="shared" si="62"/>
        <v>0</v>
      </c>
      <c r="BZ36">
        <f t="shared" si="63"/>
        <v>0</v>
      </c>
      <c r="CA36">
        <f t="shared" si="64"/>
        <v>0</v>
      </c>
      <c r="CB36">
        <f t="shared" si="65"/>
        <v>0</v>
      </c>
      <c r="CC36">
        <f t="shared" si="66"/>
        <v>0</v>
      </c>
      <c r="CE36" t="str">
        <f t="shared" si="67"/>
        <v>024</v>
      </c>
      <c r="CF36" t="str">
        <f t="shared" si="68"/>
        <v>00</v>
      </c>
      <c r="CG36" t="str">
        <f t="shared" si="68"/>
        <v>00</v>
      </c>
      <c r="CH36" t="str">
        <f t="shared" si="68"/>
        <v>00</v>
      </c>
      <c r="CI36" t="str">
        <f t="shared" si="69"/>
        <v>01</v>
      </c>
      <c r="CJ36" t="str">
        <f t="shared" si="70"/>
        <v>04</v>
      </c>
      <c r="CK36" t="str">
        <f t="shared" si="71"/>
        <v>02</v>
      </c>
      <c r="CL36" t="str">
        <f t="shared" si="72"/>
        <v>02</v>
      </c>
      <c r="CM36" t="str">
        <f t="shared" si="73"/>
        <v>00</v>
      </c>
      <c r="CN36" t="str">
        <f t="shared" si="74"/>
        <v>00</v>
      </c>
      <c r="CO36" t="str">
        <f t="shared" si="75"/>
        <v>00</v>
      </c>
      <c r="CP36" t="str">
        <f t="shared" si="76"/>
        <v>00</v>
      </c>
      <c r="CQ36" t="str">
        <f t="shared" si="77"/>
        <v>00</v>
      </c>
      <c r="CR36" t="str">
        <f t="shared" si="78"/>
        <v>00</v>
      </c>
      <c r="CS36" t="str">
        <f t="shared" si="79"/>
        <v>00</v>
      </c>
      <c r="CT36" t="str">
        <f t="shared" si="80"/>
        <v>00</v>
      </c>
      <c r="CU36" t="str">
        <f t="shared" si="81"/>
        <v>00</v>
      </c>
      <c r="CV36" t="str">
        <f t="shared" si="82"/>
        <v>00</v>
      </c>
      <c r="CW36" t="str">
        <f t="shared" si="83"/>
        <v>00</v>
      </c>
      <c r="CX36" t="str">
        <f t="shared" si="84"/>
        <v>00</v>
      </c>
      <c r="CY36" t="str">
        <f t="shared" si="85"/>
        <v>00</v>
      </c>
      <c r="CZ36" t="str">
        <f t="shared" si="86"/>
        <v>00</v>
      </c>
      <c r="DA36" t="str">
        <f t="shared" si="87"/>
        <v>00</v>
      </c>
      <c r="DB36" t="str">
        <f t="shared" si="88"/>
        <v>04</v>
      </c>
      <c r="DC36" t="str">
        <f t="shared" si="89"/>
        <v>0104020200000000000000000000000000000004</v>
      </c>
      <c r="DD36" t="str">
        <f t="shared" si="90"/>
        <v>Request utama</v>
      </c>
      <c r="DE36" t="s">
        <v>143</v>
      </c>
      <c r="DF36" t="s">
        <v>223</v>
      </c>
      <c r="DG36" t="s">
        <v>224</v>
      </c>
      <c r="DH36" t="s">
        <v>225</v>
      </c>
      <c r="DI36" t="s">
        <v>226</v>
      </c>
      <c r="DJ36" t="s">
        <v>227</v>
      </c>
      <c r="DK36" t="s">
        <v>228</v>
      </c>
      <c r="DL36" t="str">
        <f t="shared" si="91"/>
        <v>024,00,00,00,01,04,02,02,00,00,00,00,00,00,00,00,00,00,00,00,00,00,00,04,0104020200000000000000000000000000000004,Request utama,file24,Blk1,Blk2,Blk3,Blk4,Blk5,Blk6</v>
      </c>
    </row>
    <row r="37" spans="2:116" x14ac:dyDescent="0.25">
      <c r="B37">
        <f t="shared" si="92"/>
        <v>25</v>
      </c>
      <c r="G37" t="s">
        <v>38</v>
      </c>
      <c r="W37">
        <f t="shared" si="115"/>
        <v>0</v>
      </c>
      <c r="X37">
        <f t="shared" si="116"/>
        <v>0</v>
      </c>
      <c r="Y37">
        <f t="shared" si="117"/>
        <v>0</v>
      </c>
      <c r="Z37">
        <f t="shared" si="118"/>
        <v>0</v>
      </c>
      <c r="AA37">
        <f t="shared" si="119"/>
        <v>1</v>
      </c>
      <c r="AB37">
        <f t="shared" si="120"/>
        <v>0</v>
      </c>
      <c r="AC37">
        <f t="shared" si="121"/>
        <v>0</v>
      </c>
      <c r="AD37">
        <f t="shared" si="122"/>
        <v>0</v>
      </c>
      <c r="AE37">
        <f t="shared" si="123"/>
        <v>0</v>
      </c>
      <c r="AF37">
        <f t="shared" si="124"/>
        <v>0</v>
      </c>
      <c r="AG37">
        <f t="shared" si="125"/>
        <v>0</v>
      </c>
      <c r="AH37">
        <f t="shared" si="126"/>
        <v>0</v>
      </c>
      <c r="AI37">
        <f t="shared" si="127"/>
        <v>0</v>
      </c>
      <c r="AJ37">
        <f t="shared" si="128"/>
        <v>0</v>
      </c>
      <c r="AK37">
        <f t="shared" si="129"/>
        <v>0</v>
      </c>
      <c r="AL37">
        <f t="shared" si="130"/>
        <v>0</v>
      </c>
      <c r="AM37">
        <f t="shared" si="131"/>
        <v>0</v>
      </c>
      <c r="AN37">
        <f t="shared" si="132"/>
        <v>0</v>
      </c>
      <c r="AO37">
        <f t="shared" si="133"/>
        <v>0</v>
      </c>
      <c r="AP37" s="2" t="str">
        <f t="shared" si="46"/>
        <v/>
      </c>
      <c r="AQ37" t="str">
        <f t="shared" si="140"/>
        <v>S</v>
      </c>
      <c r="AR37" t="str">
        <f t="shared" si="141"/>
        <v>S</v>
      </c>
      <c r="AS37" t="str">
        <f t="shared" si="142"/>
        <v>S</v>
      </c>
      <c r="AT37" t="str">
        <f t="shared" si="143"/>
        <v>S</v>
      </c>
      <c r="AU37">
        <f t="shared" si="144"/>
        <v>1</v>
      </c>
      <c r="AV37" t="str">
        <f t="shared" si="145"/>
        <v/>
      </c>
      <c r="AW37" t="str">
        <f t="shared" si="146"/>
        <v/>
      </c>
      <c r="AX37" t="str">
        <f t="shared" si="147"/>
        <v/>
      </c>
      <c r="AY37" t="str">
        <f t="shared" si="148"/>
        <v/>
      </c>
      <c r="AZ37" t="str">
        <f t="shared" si="149"/>
        <v/>
      </c>
      <c r="BA37" t="str">
        <f t="shared" si="150"/>
        <v/>
      </c>
      <c r="BB37" t="str">
        <f t="shared" si="151"/>
        <v/>
      </c>
      <c r="BC37" t="str">
        <f t="shared" si="152"/>
        <v/>
      </c>
      <c r="BD37" t="str">
        <f t="shared" si="153"/>
        <v/>
      </c>
      <c r="BE37" t="str">
        <f t="shared" si="154"/>
        <v/>
      </c>
      <c r="BF37" t="str">
        <f t="shared" si="155"/>
        <v/>
      </c>
      <c r="BG37" t="str">
        <f t="shared" si="156"/>
        <v/>
      </c>
      <c r="BH37" t="str">
        <f t="shared" si="157"/>
        <v/>
      </c>
      <c r="BI37" t="str">
        <f t="shared" si="158"/>
        <v/>
      </c>
      <c r="BK37">
        <f t="shared" si="48"/>
        <v>1</v>
      </c>
      <c r="BL37">
        <f t="shared" si="49"/>
        <v>4</v>
      </c>
      <c r="BM37">
        <f t="shared" si="50"/>
        <v>2</v>
      </c>
      <c r="BN37">
        <f t="shared" si="51"/>
        <v>2</v>
      </c>
      <c r="BO37">
        <f t="shared" si="52"/>
        <v>1</v>
      </c>
      <c r="BP37">
        <f t="shared" si="53"/>
        <v>0</v>
      </c>
      <c r="BQ37">
        <f t="shared" si="54"/>
        <v>0</v>
      </c>
      <c r="BR37">
        <f t="shared" si="55"/>
        <v>0</v>
      </c>
      <c r="BS37">
        <f t="shared" si="56"/>
        <v>0</v>
      </c>
      <c r="BT37">
        <f t="shared" si="57"/>
        <v>0</v>
      </c>
      <c r="BU37">
        <f t="shared" si="58"/>
        <v>0</v>
      </c>
      <c r="BV37">
        <f t="shared" si="59"/>
        <v>0</v>
      </c>
      <c r="BW37">
        <f t="shared" si="60"/>
        <v>0</v>
      </c>
      <c r="BX37">
        <f t="shared" si="61"/>
        <v>0</v>
      </c>
      <c r="BY37">
        <f t="shared" si="62"/>
        <v>0</v>
      </c>
      <c r="BZ37">
        <f t="shared" si="63"/>
        <v>0</v>
      </c>
      <c r="CA37">
        <f t="shared" si="64"/>
        <v>0</v>
      </c>
      <c r="CB37">
        <f t="shared" si="65"/>
        <v>0</v>
      </c>
      <c r="CC37">
        <f t="shared" si="66"/>
        <v>0</v>
      </c>
      <c r="CE37" t="str">
        <f t="shared" si="67"/>
        <v>025</v>
      </c>
      <c r="CF37" t="str">
        <f t="shared" si="68"/>
        <v>00</v>
      </c>
      <c r="CG37" t="str">
        <f t="shared" si="68"/>
        <v>00</v>
      </c>
      <c r="CH37" t="str">
        <f t="shared" si="68"/>
        <v>00</v>
      </c>
      <c r="CI37" t="str">
        <f t="shared" si="69"/>
        <v>01</v>
      </c>
      <c r="CJ37" t="str">
        <f t="shared" si="70"/>
        <v>04</v>
      </c>
      <c r="CK37" t="str">
        <f t="shared" si="71"/>
        <v>02</v>
      </c>
      <c r="CL37" t="str">
        <f t="shared" si="72"/>
        <v>02</v>
      </c>
      <c r="CM37" t="str">
        <f t="shared" si="73"/>
        <v>01</v>
      </c>
      <c r="CN37" t="str">
        <f t="shared" si="74"/>
        <v>00</v>
      </c>
      <c r="CO37" t="str">
        <f t="shared" si="75"/>
        <v>00</v>
      </c>
      <c r="CP37" t="str">
        <f t="shared" si="76"/>
        <v>00</v>
      </c>
      <c r="CQ37" t="str">
        <f t="shared" si="77"/>
        <v>00</v>
      </c>
      <c r="CR37" t="str">
        <f t="shared" si="78"/>
        <v>00</v>
      </c>
      <c r="CS37" t="str">
        <f t="shared" si="79"/>
        <v>00</v>
      </c>
      <c r="CT37" t="str">
        <f t="shared" si="80"/>
        <v>00</v>
      </c>
      <c r="CU37" t="str">
        <f t="shared" si="81"/>
        <v>00</v>
      </c>
      <c r="CV37" t="str">
        <f t="shared" si="82"/>
        <v>00</v>
      </c>
      <c r="CW37" t="str">
        <f t="shared" si="83"/>
        <v>00</v>
      </c>
      <c r="CX37" t="str">
        <f t="shared" si="84"/>
        <v>00</v>
      </c>
      <c r="CY37" t="str">
        <f t="shared" si="85"/>
        <v>00</v>
      </c>
      <c r="CZ37" t="str">
        <f t="shared" si="86"/>
        <v>00</v>
      </c>
      <c r="DA37" t="str">
        <f t="shared" si="87"/>
        <v>00</v>
      </c>
      <c r="DB37" t="str">
        <f t="shared" si="88"/>
        <v>05</v>
      </c>
      <c r="DC37" t="str">
        <f t="shared" si="89"/>
        <v>0104020201000000000000000000000000000005</v>
      </c>
      <c r="DD37" t="str">
        <f t="shared" si="90"/>
        <v>Request utama 1</v>
      </c>
      <c r="DE37" t="s">
        <v>144</v>
      </c>
      <c r="DF37" t="s">
        <v>223</v>
      </c>
      <c r="DG37" t="s">
        <v>224</v>
      </c>
      <c r="DH37" t="s">
        <v>225</v>
      </c>
      <c r="DI37" t="s">
        <v>226</v>
      </c>
      <c r="DJ37" t="s">
        <v>227</v>
      </c>
      <c r="DK37" t="s">
        <v>228</v>
      </c>
      <c r="DL37" t="str">
        <f t="shared" si="91"/>
        <v>025,00,00,00,01,04,02,02,01,00,00,00,00,00,00,00,00,00,00,00,00,00,00,05,0104020201000000000000000000000000000005,Request utama 1,file25,Blk1,Blk2,Blk3,Blk4,Blk5,Blk6</v>
      </c>
    </row>
    <row r="38" spans="2:116" x14ac:dyDescent="0.25">
      <c r="B38">
        <f t="shared" si="92"/>
        <v>26</v>
      </c>
      <c r="G38" t="s">
        <v>39</v>
      </c>
      <c r="W38">
        <f t="shared" si="115"/>
        <v>0</v>
      </c>
      <c r="X38">
        <f t="shared" si="116"/>
        <v>0</v>
      </c>
      <c r="Y38">
        <f t="shared" si="117"/>
        <v>0</v>
      </c>
      <c r="Z38">
        <f t="shared" si="118"/>
        <v>0</v>
      </c>
      <c r="AA38">
        <f t="shared" si="119"/>
        <v>1</v>
      </c>
      <c r="AB38">
        <f t="shared" si="120"/>
        <v>0</v>
      </c>
      <c r="AC38">
        <f t="shared" si="121"/>
        <v>0</v>
      </c>
      <c r="AD38">
        <f t="shared" si="122"/>
        <v>0</v>
      </c>
      <c r="AE38">
        <f t="shared" si="123"/>
        <v>0</v>
      </c>
      <c r="AF38">
        <f t="shared" si="124"/>
        <v>0</v>
      </c>
      <c r="AG38">
        <f t="shared" si="125"/>
        <v>0</v>
      </c>
      <c r="AH38">
        <f t="shared" si="126"/>
        <v>0</v>
      </c>
      <c r="AI38">
        <f t="shared" si="127"/>
        <v>0</v>
      </c>
      <c r="AJ38">
        <f t="shared" si="128"/>
        <v>0</v>
      </c>
      <c r="AK38">
        <f t="shared" si="129"/>
        <v>0</v>
      </c>
      <c r="AL38">
        <f t="shared" si="130"/>
        <v>0</v>
      </c>
      <c r="AM38">
        <f t="shared" si="131"/>
        <v>0</v>
      </c>
      <c r="AN38">
        <f t="shared" si="132"/>
        <v>0</v>
      </c>
      <c r="AO38">
        <f t="shared" si="133"/>
        <v>0</v>
      </c>
      <c r="AP38" s="2" t="str">
        <f t="shared" si="46"/>
        <v/>
      </c>
      <c r="AQ38" t="str">
        <f t="shared" si="140"/>
        <v>S</v>
      </c>
      <c r="AR38" t="str">
        <f t="shared" si="141"/>
        <v>S</v>
      </c>
      <c r="AS38" t="str">
        <f t="shared" si="142"/>
        <v>S</v>
      </c>
      <c r="AT38" t="str">
        <f t="shared" si="143"/>
        <v>S</v>
      </c>
      <c r="AU38" t="str">
        <f t="shared" si="144"/>
        <v>+</v>
      </c>
      <c r="AV38" t="str">
        <f t="shared" si="145"/>
        <v/>
      </c>
      <c r="AW38" t="str">
        <f t="shared" si="146"/>
        <v/>
      </c>
      <c r="AX38" t="str">
        <f t="shared" si="147"/>
        <v/>
      </c>
      <c r="AY38" t="str">
        <f t="shared" si="148"/>
        <v/>
      </c>
      <c r="AZ38" t="str">
        <f t="shared" si="149"/>
        <v/>
      </c>
      <c r="BA38" t="str">
        <f t="shared" si="150"/>
        <v/>
      </c>
      <c r="BB38" t="str">
        <f t="shared" si="151"/>
        <v/>
      </c>
      <c r="BC38" t="str">
        <f t="shared" si="152"/>
        <v/>
      </c>
      <c r="BD38" t="str">
        <f t="shared" si="153"/>
        <v/>
      </c>
      <c r="BE38" t="str">
        <f t="shared" si="154"/>
        <v/>
      </c>
      <c r="BF38" t="str">
        <f t="shared" si="155"/>
        <v/>
      </c>
      <c r="BG38" t="str">
        <f t="shared" si="156"/>
        <v/>
      </c>
      <c r="BH38" t="str">
        <f t="shared" si="157"/>
        <v/>
      </c>
      <c r="BI38" t="str">
        <f t="shared" si="158"/>
        <v/>
      </c>
      <c r="BK38">
        <f t="shared" si="48"/>
        <v>1</v>
      </c>
      <c r="BL38">
        <f t="shared" si="49"/>
        <v>4</v>
      </c>
      <c r="BM38">
        <f t="shared" si="50"/>
        <v>2</v>
      </c>
      <c r="BN38">
        <f t="shared" si="51"/>
        <v>2</v>
      </c>
      <c r="BO38">
        <f t="shared" si="52"/>
        <v>2</v>
      </c>
      <c r="BP38">
        <f t="shared" si="53"/>
        <v>0</v>
      </c>
      <c r="BQ38">
        <f t="shared" si="54"/>
        <v>0</v>
      </c>
      <c r="BR38">
        <f t="shared" si="55"/>
        <v>0</v>
      </c>
      <c r="BS38">
        <f t="shared" si="56"/>
        <v>0</v>
      </c>
      <c r="BT38">
        <f t="shared" si="57"/>
        <v>0</v>
      </c>
      <c r="BU38">
        <f t="shared" si="58"/>
        <v>0</v>
      </c>
      <c r="BV38">
        <f t="shared" si="59"/>
        <v>0</v>
      </c>
      <c r="BW38">
        <f t="shared" si="60"/>
        <v>0</v>
      </c>
      <c r="BX38">
        <f t="shared" si="61"/>
        <v>0</v>
      </c>
      <c r="BY38">
        <f t="shared" si="62"/>
        <v>0</v>
      </c>
      <c r="BZ38">
        <f t="shared" si="63"/>
        <v>0</v>
      </c>
      <c r="CA38">
        <f t="shared" si="64"/>
        <v>0</v>
      </c>
      <c r="CB38">
        <f t="shared" si="65"/>
        <v>0</v>
      </c>
      <c r="CC38">
        <f t="shared" si="66"/>
        <v>0</v>
      </c>
      <c r="CE38" t="str">
        <f t="shared" si="67"/>
        <v>026</v>
      </c>
      <c r="CF38" t="str">
        <f t="shared" si="68"/>
        <v>00</v>
      </c>
      <c r="CG38" t="str">
        <f t="shared" si="68"/>
        <v>00</v>
      </c>
      <c r="CH38" t="str">
        <f t="shared" si="68"/>
        <v>00</v>
      </c>
      <c r="CI38" t="str">
        <f t="shared" si="69"/>
        <v>01</v>
      </c>
      <c r="CJ38" t="str">
        <f t="shared" si="70"/>
        <v>04</v>
      </c>
      <c r="CK38" t="str">
        <f t="shared" si="71"/>
        <v>02</v>
      </c>
      <c r="CL38" t="str">
        <f t="shared" si="72"/>
        <v>02</v>
      </c>
      <c r="CM38" t="str">
        <f t="shared" si="73"/>
        <v>02</v>
      </c>
      <c r="CN38" t="str">
        <f t="shared" si="74"/>
        <v>00</v>
      </c>
      <c r="CO38" t="str">
        <f t="shared" si="75"/>
        <v>00</v>
      </c>
      <c r="CP38" t="str">
        <f t="shared" si="76"/>
        <v>00</v>
      </c>
      <c r="CQ38" t="str">
        <f t="shared" si="77"/>
        <v>00</v>
      </c>
      <c r="CR38" t="str">
        <f t="shared" si="78"/>
        <v>00</v>
      </c>
      <c r="CS38" t="str">
        <f t="shared" si="79"/>
        <v>00</v>
      </c>
      <c r="CT38" t="str">
        <f t="shared" si="80"/>
        <v>00</v>
      </c>
      <c r="CU38" t="str">
        <f t="shared" si="81"/>
        <v>00</v>
      </c>
      <c r="CV38" t="str">
        <f t="shared" si="82"/>
        <v>00</v>
      </c>
      <c r="CW38" t="str">
        <f t="shared" si="83"/>
        <v>00</v>
      </c>
      <c r="CX38" t="str">
        <f t="shared" si="84"/>
        <v>00</v>
      </c>
      <c r="CY38" t="str">
        <f t="shared" si="85"/>
        <v>00</v>
      </c>
      <c r="CZ38" t="str">
        <f t="shared" si="86"/>
        <v>00</v>
      </c>
      <c r="DA38" t="str">
        <f t="shared" si="87"/>
        <v>00</v>
      </c>
      <c r="DB38" t="str">
        <f t="shared" si="88"/>
        <v>05</v>
      </c>
      <c r="DC38" t="str">
        <f t="shared" si="89"/>
        <v>0104020202000000000000000000000000000005</v>
      </c>
      <c r="DD38" t="str">
        <f t="shared" si="90"/>
        <v>Request utama 2</v>
      </c>
      <c r="DE38" t="s">
        <v>145</v>
      </c>
      <c r="DF38" t="s">
        <v>223</v>
      </c>
      <c r="DG38" t="s">
        <v>224</v>
      </c>
      <c r="DH38" t="s">
        <v>225</v>
      </c>
      <c r="DI38" t="s">
        <v>226</v>
      </c>
      <c r="DJ38" t="s">
        <v>227</v>
      </c>
      <c r="DK38" t="s">
        <v>228</v>
      </c>
      <c r="DL38" t="str">
        <f t="shared" si="91"/>
        <v>026,00,00,00,01,04,02,02,02,00,00,00,00,00,00,00,00,00,00,00,00,00,00,05,0104020202000000000000000000000000000005,Request utama 2,file26,Blk1,Blk2,Blk3,Blk4,Blk5,Blk6</v>
      </c>
    </row>
    <row r="39" spans="2:116" x14ac:dyDescent="0.25">
      <c r="B39">
        <f t="shared" si="92"/>
        <v>27</v>
      </c>
      <c r="H39" t="s">
        <v>40</v>
      </c>
      <c r="W39">
        <f t="shared" si="115"/>
        <v>0</v>
      </c>
      <c r="X39">
        <f t="shared" si="116"/>
        <v>0</v>
      </c>
      <c r="Y39">
        <f t="shared" si="117"/>
        <v>0</v>
      </c>
      <c r="Z39">
        <f t="shared" si="118"/>
        <v>0</v>
      </c>
      <c r="AA39">
        <f t="shared" si="119"/>
        <v>0</v>
      </c>
      <c r="AB39">
        <f t="shared" si="120"/>
        <v>1</v>
      </c>
      <c r="AC39">
        <f t="shared" si="121"/>
        <v>0</v>
      </c>
      <c r="AD39">
        <f t="shared" si="122"/>
        <v>0</v>
      </c>
      <c r="AE39">
        <f t="shared" si="123"/>
        <v>0</v>
      </c>
      <c r="AF39">
        <f t="shared" si="124"/>
        <v>0</v>
      </c>
      <c r="AG39">
        <f t="shared" si="125"/>
        <v>0</v>
      </c>
      <c r="AH39">
        <f t="shared" si="126"/>
        <v>0</v>
      </c>
      <c r="AI39">
        <f t="shared" si="127"/>
        <v>0</v>
      </c>
      <c r="AJ39">
        <f t="shared" si="128"/>
        <v>0</v>
      </c>
      <c r="AK39">
        <f t="shared" si="129"/>
        <v>0</v>
      </c>
      <c r="AL39">
        <f t="shared" si="130"/>
        <v>0</v>
      </c>
      <c r="AM39">
        <f t="shared" si="131"/>
        <v>0</v>
      </c>
      <c r="AN39">
        <f t="shared" si="132"/>
        <v>0</v>
      </c>
      <c r="AO39">
        <f t="shared" si="133"/>
        <v>0</v>
      </c>
      <c r="AP39" s="2" t="str">
        <f t="shared" si="46"/>
        <v/>
      </c>
      <c r="AQ39" t="str">
        <f t="shared" si="140"/>
        <v>S</v>
      </c>
      <c r="AR39" t="str">
        <f t="shared" si="141"/>
        <v>S</v>
      </c>
      <c r="AS39" t="str">
        <f t="shared" si="142"/>
        <v>S</v>
      </c>
      <c r="AT39" t="str">
        <f t="shared" si="143"/>
        <v>S</v>
      </c>
      <c r="AU39" t="str">
        <f t="shared" si="144"/>
        <v>S</v>
      </c>
      <c r="AV39">
        <f t="shared" si="145"/>
        <v>1</v>
      </c>
      <c r="AW39" t="str">
        <f t="shared" si="146"/>
        <v/>
      </c>
      <c r="AX39" t="str">
        <f t="shared" si="147"/>
        <v/>
      </c>
      <c r="AY39" t="str">
        <f t="shared" si="148"/>
        <v/>
      </c>
      <c r="AZ39" t="str">
        <f t="shared" si="149"/>
        <v/>
      </c>
      <c r="BA39" t="str">
        <f t="shared" si="150"/>
        <v/>
      </c>
      <c r="BB39" t="str">
        <f t="shared" si="151"/>
        <v/>
      </c>
      <c r="BC39" t="str">
        <f t="shared" si="152"/>
        <v/>
      </c>
      <c r="BD39" t="str">
        <f t="shared" si="153"/>
        <v/>
      </c>
      <c r="BE39" t="str">
        <f t="shared" si="154"/>
        <v/>
      </c>
      <c r="BF39" t="str">
        <f t="shared" si="155"/>
        <v/>
      </c>
      <c r="BG39" t="str">
        <f t="shared" si="156"/>
        <v/>
      </c>
      <c r="BH39" t="str">
        <f t="shared" si="157"/>
        <v/>
      </c>
      <c r="BI39" t="str">
        <f t="shared" si="158"/>
        <v/>
      </c>
      <c r="BK39">
        <f t="shared" si="48"/>
        <v>1</v>
      </c>
      <c r="BL39">
        <f t="shared" si="49"/>
        <v>4</v>
      </c>
      <c r="BM39">
        <f t="shared" si="50"/>
        <v>2</v>
      </c>
      <c r="BN39">
        <f t="shared" si="51"/>
        <v>2</v>
      </c>
      <c r="BO39">
        <f t="shared" si="52"/>
        <v>2</v>
      </c>
      <c r="BP39">
        <f t="shared" si="53"/>
        <v>1</v>
      </c>
      <c r="BQ39">
        <f t="shared" si="54"/>
        <v>0</v>
      </c>
      <c r="BR39">
        <f t="shared" si="55"/>
        <v>0</v>
      </c>
      <c r="BS39">
        <f t="shared" si="56"/>
        <v>0</v>
      </c>
      <c r="BT39">
        <f t="shared" si="57"/>
        <v>0</v>
      </c>
      <c r="BU39">
        <f t="shared" si="58"/>
        <v>0</v>
      </c>
      <c r="BV39">
        <f t="shared" si="59"/>
        <v>0</v>
      </c>
      <c r="BW39">
        <f t="shared" si="60"/>
        <v>0</v>
      </c>
      <c r="BX39">
        <f t="shared" si="61"/>
        <v>0</v>
      </c>
      <c r="BY39">
        <f t="shared" si="62"/>
        <v>0</v>
      </c>
      <c r="BZ39">
        <f t="shared" si="63"/>
        <v>0</v>
      </c>
      <c r="CA39">
        <f t="shared" si="64"/>
        <v>0</v>
      </c>
      <c r="CB39">
        <f t="shared" si="65"/>
        <v>0</v>
      </c>
      <c r="CC39">
        <f t="shared" si="66"/>
        <v>0</v>
      </c>
      <c r="CE39" t="str">
        <f t="shared" si="67"/>
        <v>027</v>
      </c>
      <c r="CF39" t="str">
        <f t="shared" si="68"/>
        <v>00</v>
      </c>
      <c r="CG39" t="str">
        <f t="shared" si="68"/>
        <v>00</v>
      </c>
      <c r="CH39" t="str">
        <f t="shared" si="68"/>
        <v>00</v>
      </c>
      <c r="CI39" t="str">
        <f t="shared" si="69"/>
        <v>01</v>
      </c>
      <c r="CJ39" t="str">
        <f t="shared" si="70"/>
        <v>04</v>
      </c>
      <c r="CK39" t="str">
        <f t="shared" si="71"/>
        <v>02</v>
      </c>
      <c r="CL39" t="str">
        <f t="shared" si="72"/>
        <v>02</v>
      </c>
      <c r="CM39" t="str">
        <f t="shared" si="73"/>
        <v>02</v>
      </c>
      <c r="CN39" t="str">
        <f t="shared" si="74"/>
        <v>01</v>
      </c>
      <c r="CO39" t="str">
        <f t="shared" si="75"/>
        <v>00</v>
      </c>
      <c r="CP39" t="str">
        <f t="shared" si="76"/>
        <v>00</v>
      </c>
      <c r="CQ39" t="str">
        <f t="shared" si="77"/>
        <v>00</v>
      </c>
      <c r="CR39" t="str">
        <f t="shared" si="78"/>
        <v>00</v>
      </c>
      <c r="CS39" t="str">
        <f t="shared" si="79"/>
        <v>00</v>
      </c>
      <c r="CT39" t="str">
        <f t="shared" si="80"/>
        <v>00</v>
      </c>
      <c r="CU39" t="str">
        <f t="shared" si="81"/>
        <v>00</v>
      </c>
      <c r="CV39" t="str">
        <f t="shared" si="82"/>
        <v>00</v>
      </c>
      <c r="CW39" t="str">
        <f t="shared" si="83"/>
        <v>00</v>
      </c>
      <c r="CX39" t="str">
        <f t="shared" si="84"/>
        <v>00</v>
      </c>
      <c r="CY39" t="str">
        <f t="shared" si="85"/>
        <v>00</v>
      </c>
      <c r="CZ39" t="str">
        <f t="shared" si="86"/>
        <v>00</v>
      </c>
      <c r="DA39" t="str">
        <f t="shared" si="87"/>
        <v>00</v>
      </c>
      <c r="DB39" t="str">
        <f t="shared" si="88"/>
        <v>06</v>
      </c>
      <c r="DC39" t="str">
        <f t="shared" si="89"/>
        <v>0104020202010000000000000000000000000006</v>
      </c>
      <c r="DD39" t="str">
        <f t="shared" si="90"/>
        <v>Request Pejabat</v>
      </c>
      <c r="DE39" t="s">
        <v>146</v>
      </c>
      <c r="DF39" t="s">
        <v>223</v>
      </c>
      <c r="DG39" t="s">
        <v>224</v>
      </c>
      <c r="DH39" t="s">
        <v>225</v>
      </c>
      <c r="DI39" t="s">
        <v>226</v>
      </c>
      <c r="DJ39" t="s">
        <v>227</v>
      </c>
      <c r="DK39" t="s">
        <v>228</v>
      </c>
      <c r="DL39" t="str">
        <f t="shared" si="91"/>
        <v>027,00,00,00,01,04,02,02,02,01,00,00,00,00,00,00,00,00,00,00,00,00,00,06,0104020202010000000000000000000000000006,Request Pejabat,file27,Blk1,Blk2,Blk3,Blk4,Blk5,Blk6</v>
      </c>
    </row>
    <row r="40" spans="2:116" x14ac:dyDescent="0.25">
      <c r="B40">
        <f t="shared" si="92"/>
        <v>28</v>
      </c>
      <c r="H40" t="s">
        <v>41</v>
      </c>
      <c r="W40">
        <f t="shared" si="115"/>
        <v>0</v>
      </c>
      <c r="X40">
        <f t="shared" si="116"/>
        <v>0</v>
      </c>
      <c r="Y40">
        <f t="shared" si="117"/>
        <v>0</v>
      </c>
      <c r="Z40">
        <f t="shared" si="118"/>
        <v>0</v>
      </c>
      <c r="AA40">
        <f t="shared" si="119"/>
        <v>0</v>
      </c>
      <c r="AB40">
        <f t="shared" si="120"/>
        <v>1</v>
      </c>
      <c r="AC40">
        <f t="shared" si="121"/>
        <v>0</v>
      </c>
      <c r="AD40">
        <f t="shared" si="122"/>
        <v>0</v>
      </c>
      <c r="AE40">
        <f t="shared" si="123"/>
        <v>0</v>
      </c>
      <c r="AF40">
        <f t="shared" si="124"/>
        <v>0</v>
      </c>
      <c r="AG40">
        <f t="shared" si="125"/>
        <v>0</v>
      </c>
      <c r="AH40">
        <f t="shared" si="126"/>
        <v>0</v>
      </c>
      <c r="AI40">
        <f t="shared" si="127"/>
        <v>0</v>
      </c>
      <c r="AJ40">
        <f t="shared" si="128"/>
        <v>0</v>
      </c>
      <c r="AK40">
        <f t="shared" si="129"/>
        <v>0</v>
      </c>
      <c r="AL40">
        <f t="shared" si="130"/>
        <v>0</v>
      </c>
      <c r="AM40">
        <f t="shared" si="131"/>
        <v>0</v>
      </c>
      <c r="AN40">
        <f t="shared" si="132"/>
        <v>0</v>
      </c>
      <c r="AO40">
        <f t="shared" si="133"/>
        <v>0</v>
      </c>
      <c r="AP40" s="2" t="str">
        <f t="shared" si="46"/>
        <v/>
      </c>
      <c r="AQ40" t="str">
        <f t="shared" si="140"/>
        <v>S</v>
      </c>
      <c r="AR40" t="str">
        <f t="shared" si="141"/>
        <v>S</v>
      </c>
      <c r="AS40" t="str">
        <f t="shared" si="142"/>
        <v>S</v>
      </c>
      <c r="AT40" t="str">
        <f t="shared" si="143"/>
        <v>S</v>
      </c>
      <c r="AU40" t="str">
        <f t="shared" si="144"/>
        <v>S</v>
      </c>
      <c r="AV40" t="str">
        <f t="shared" si="145"/>
        <v>+</v>
      </c>
      <c r="AW40" t="str">
        <f t="shared" si="146"/>
        <v/>
      </c>
      <c r="AX40" t="str">
        <f t="shared" si="147"/>
        <v/>
      </c>
      <c r="AY40" t="str">
        <f t="shared" si="148"/>
        <v/>
      </c>
      <c r="AZ40" t="str">
        <f t="shared" si="149"/>
        <v/>
      </c>
      <c r="BA40" t="str">
        <f t="shared" si="150"/>
        <v/>
      </c>
      <c r="BB40" t="str">
        <f t="shared" si="151"/>
        <v/>
      </c>
      <c r="BC40" t="str">
        <f t="shared" si="152"/>
        <v/>
      </c>
      <c r="BD40" t="str">
        <f t="shared" si="153"/>
        <v/>
      </c>
      <c r="BE40" t="str">
        <f t="shared" si="154"/>
        <v/>
      </c>
      <c r="BF40" t="str">
        <f t="shared" si="155"/>
        <v/>
      </c>
      <c r="BG40" t="str">
        <f t="shared" si="156"/>
        <v/>
      </c>
      <c r="BH40" t="str">
        <f t="shared" si="157"/>
        <v/>
      </c>
      <c r="BI40" t="str">
        <f t="shared" si="158"/>
        <v/>
      </c>
      <c r="BK40">
        <f t="shared" si="48"/>
        <v>1</v>
      </c>
      <c r="BL40">
        <f t="shared" si="49"/>
        <v>4</v>
      </c>
      <c r="BM40">
        <f t="shared" si="50"/>
        <v>2</v>
      </c>
      <c r="BN40">
        <f t="shared" si="51"/>
        <v>2</v>
      </c>
      <c r="BO40">
        <f t="shared" si="52"/>
        <v>2</v>
      </c>
      <c r="BP40">
        <f t="shared" si="53"/>
        <v>2</v>
      </c>
      <c r="BQ40">
        <f t="shared" si="54"/>
        <v>0</v>
      </c>
      <c r="BR40">
        <f t="shared" si="55"/>
        <v>0</v>
      </c>
      <c r="BS40">
        <f t="shared" si="56"/>
        <v>0</v>
      </c>
      <c r="BT40">
        <f t="shared" si="57"/>
        <v>0</v>
      </c>
      <c r="BU40">
        <f t="shared" si="58"/>
        <v>0</v>
      </c>
      <c r="BV40">
        <f t="shared" si="59"/>
        <v>0</v>
      </c>
      <c r="BW40">
        <f t="shared" si="60"/>
        <v>0</v>
      </c>
      <c r="BX40">
        <f t="shared" si="61"/>
        <v>0</v>
      </c>
      <c r="BY40">
        <f t="shared" si="62"/>
        <v>0</v>
      </c>
      <c r="BZ40">
        <f t="shared" si="63"/>
        <v>0</v>
      </c>
      <c r="CA40">
        <f t="shared" si="64"/>
        <v>0</v>
      </c>
      <c r="CB40">
        <f t="shared" si="65"/>
        <v>0</v>
      </c>
      <c r="CC40">
        <f t="shared" si="66"/>
        <v>0</v>
      </c>
      <c r="CE40" t="str">
        <f t="shared" si="67"/>
        <v>028</v>
      </c>
      <c r="CF40" t="str">
        <f t="shared" si="68"/>
        <v>00</v>
      </c>
      <c r="CG40" t="str">
        <f t="shared" si="68"/>
        <v>00</v>
      </c>
      <c r="CH40" t="str">
        <f t="shared" si="68"/>
        <v>00</v>
      </c>
      <c r="CI40" t="str">
        <f t="shared" si="69"/>
        <v>01</v>
      </c>
      <c r="CJ40" t="str">
        <f t="shared" si="70"/>
        <v>04</v>
      </c>
      <c r="CK40" t="str">
        <f t="shared" si="71"/>
        <v>02</v>
      </c>
      <c r="CL40" t="str">
        <f t="shared" si="72"/>
        <v>02</v>
      </c>
      <c r="CM40" t="str">
        <f t="shared" si="73"/>
        <v>02</v>
      </c>
      <c r="CN40" t="str">
        <f t="shared" si="74"/>
        <v>02</v>
      </c>
      <c r="CO40" t="str">
        <f t="shared" si="75"/>
        <v>00</v>
      </c>
      <c r="CP40" t="str">
        <f t="shared" si="76"/>
        <v>00</v>
      </c>
      <c r="CQ40" t="str">
        <f t="shared" si="77"/>
        <v>00</v>
      </c>
      <c r="CR40" t="str">
        <f t="shared" si="78"/>
        <v>00</v>
      </c>
      <c r="CS40" t="str">
        <f t="shared" si="79"/>
        <v>00</v>
      </c>
      <c r="CT40" t="str">
        <f t="shared" si="80"/>
        <v>00</v>
      </c>
      <c r="CU40" t="str">
        <f t="shared" si="81"/>
        <v>00</v>
      </c>
      <c r="CV40" t="str">
        <f t="shared" si="82"/>
        <v>00</v>
      </c>
      <c r="CW40" t="str">
        <f t="shared" si="83"/>
        <v>00</v>
      </c>
      <c r="CX40" t="str">
        <f t="shared" si="84"/>
        <v>00</v>
      </c>
      <c r="CY40" t="str">
        <f t="shared" si="85"/>
        <v>00</v>
      </c>
      <c r="CZ40" t="str">
        <f t="shared" si="86"/>
        <v>00</v>
      </c>
      <c r="DA40" t="str">
        <f t="shared" si="87"/>
        <v>00</v>
      </c>
      <c r="DB40" t="str">
        <f t="shared" si="88"/>
        <v>06</v>
      </c>
      <c r="DC40" t="str">
        <f t="shared" si="89"/>
        <v>0104020202020000000000000000000000000006</v>
      </c>
      <c r="DD40" t="str">
        <f t="shared" si="90"/>
        <v>Request Jabatan</v>
      </c>
      <c r="DE40" t="s">
        <v>147</v>
      </c>
      <c r="DF40" t="s">
        <v>223</v>
      </c>
      <c r="DG40" t="s">
        <v>224</v>
      </c>
      <c r="DH40" t="s">
        <v>225</v>
      </c>
      <c r="DI40" t="s">
        <v>226</v>
      </c>
      <c r="DJ40" t="s">
        <v>227</v>
      </c>
      <c r="DK40" t="s">
        <v>228</v>
      </c>
      <c r="DL40" t="str">
        <f t="shared" si="91"/>
        <v>028,00,00,00,01,04,02,02,02,02,00,00,00,00,00,00,00,00,00,00,00,00,00,06,0104020202020000000000000000000000000006,Request Jabatan,file28,Blk1,Blk2,Blk3,Blk4,Blk5,Blk6</v>
      </c>
    </row>
    <row r="41" spans="2:116" x14ac:dyDescent="0.25">
      <c r="B41">
        <f t="shared" si="92"/>
        <v>29</v>
      </c>
      <c r="I41" t="s">
        <v>42</v>
      </c>
      <c r="W41">
        <f t="shared" si="115"/>
        <v>0</v>
      </c>
      <c r="X41">
        <f t="shared" si="116"/>
        <v>0</v>
      </c>
      <c r="Y41">
        <f t="shared" si="117"/>
        <v>0</v>
      </c>
      <c r="Z41">
        <f t="shared" si="118"/>
        <v>0</v>
      </c>
      <c r="AA41">
        <f t="shared" si="119"/>
        <v>0</v>
      </c>
      <c r="AB41">
        <f t="shared" si="120"/>
        <v>0</v>
      </c>
      <c r="AC41">
        <f t="shared" si="121"/>
        <v>1</v>
      </c>
      <c r="AD41">
        <f t="shared" si="122"/>
        <v>0</v>
      </c>
      <c r="AE41">
        <f t="shared" si="123"/>
        <v>0</v>
      </c>
      <c r="AF41">
        <f t="shared" si="124"/>
        <v>0</v>
      </c>
      <c r="AG41">
        <f t="shared" si="125"/>
        <v>0</v>
      </c>
      <c r="AH41">
        <f t="shared" si="126"/>
        <v>0</v>
      </c>
      <c r="AI41">
        <f t="shared" si="127"/>
        <v>0</v>
      </c>
      <c r="AJ41">
        <f t="shared" si="128"/>
        <v>0</v>
      </c>
      <c r="AK41">
        <f t="shared" si="129"/>
        <v>0</v>
      </c>
      <c r="AL41">
        <f t="shared" si="130"/>
        <v>0</v>
      </c>
      <c r="AM41">
        <f t="shared" si="131"/>
        <v>0</v>
      </c>
      <c r="AN41">
        <f t="shared" si="132"/>
        <v>0</v>
      </c>
      <c r="AO41">
        <f t="shared" si="133"/>
        <v>0</v>
      </c>
      <c r="AP41" s="2" t="str">
        <f t="shared" si="46"/>
        <v/>
      </c>
      <c r="AQ41" t="str">
        <f t="shared" si="140"/>
        <v>S</v>
      </c>
      <c r="AR41" t="str">
        <f t="shared" si="141"/>
        <v>S</v>
      </c>
      <c r="AS41" t="str">
        <f t="shared" si="142"/>
        <v>S</v>
      </c>
      <c r="AT41" t="str">
        <f t="shared" si="143"/>
        <v>S</v>
      </c>
      <c r="AU41" t="str">
        <f t="shared" si="144"/>
        <v>S</v>
      </c>
      <c r="AV41" t="str">
        <f t="shared" si="145"/>
        <v>S</v>
      </c>
      <c r="AW41">
        <f t="shared" si="146"/>
        <v>1</v>
      </c>
      <c r="AX41" t="str">
        <f t="shared" si="147"/>
        <v/>
      </c>
      <c r="AY41" t="str">
        <f t="shared" si="148"/>
        <v/>
      </c>
      <c r="AZ41" t="str">
        <f t="shared" si="149"/>
        <v/>
      </c>
      <c r="BA41" t="str">
        <f t="shared" si="150"/>
        <v/>
      </c>
      <c r="BB41" t="str">
        <f t="shared" si="151"/>
        <v/>
      </c>
      <c r="BC41" t="str">
        <f t="shared" si="152"/>
        <v/>
      </c>
      <c r="BD41" t="str">
        <f t="shared" si="153"/>
        <v/>
      </c>
      <c r="BE41" t="str">
        <f t="shared" si="154"/>
        <v/>
      </c>
      <c r="BF41" t="str">
        <f t="shared" si="155"/>
        <v/>
      </c>
      <c r="BG41" t="str">
        <f t="shared" si="156"/>
        <v/>
      </c>
      <c r="BH41" t="str">
        <f t="shared" si="157"/>
        <v/>
      </c>
      <c r="BI41" t="str">
        <f t="shared" si="158"/>
        <v/>
      </c>
      <c r="BK41">
        <f t="shared" si="48"/>
        <v>1</v>
      </c>
      <c r="BL41">
        <f t="shared" si="49"/>
        <v>4</v>
      </c>
      <c r="BM41">
        <f t="shared" si="50"/>
        <v>2</v>
      </c>
      <c r="BN41">
        <f t="shared" si="51"/>
        <v>2</v>
      </c>
      <c r="BO41">
        <f t="shared" si="52"/>
        <v>2</v>
      </c>
      <c r="BP41">
        <f t="shared" si="53"/>
        <v>2</v>
      </c>
      <c r="BQ41">
        <f t="shared" si="54"/>
        <v>1</v>
      </c>
      <c r="BR41">
        <f t="shared" si="55"/>
        <v>0</v>
      </c>
      <c r="BS41">
        <f t="shared" si="56"/>
        <v>0</v>
      </c>
      <c r="BT41">
        <f t="shared" si="57"/>
        <v>0</v>
      </c>
      <c r="BU41">
        <f t="shared" si="58"/>
        <v>0</v>
      </c>
      <c r="BV41">
        <f t="shared" si="59"/>
        <v>0</v>
      </c>
      <c r="BW41">
        <f t="shared" si="60"/>
        <v>0</v>
      </c>
      <c r="BX41">
        <f t="shared" si="61"/>
        <v>0</v>
      </c>
      <c r="BY41">
        <f t="shared" si="62"/>
        <v>0</v>
      </c>
      <c r="BZ41">
        <f t="shared" si="63"/>
        <v>0</v>
      </c>
      <c r="CA41">
        <f t="shared" si="64"/>
        <v>0</v>
      </c>
      <c r="CB41">
        <f t="shared" si="65"/>
        <v>0</v>
      </c>
      <c r="CC41">
        <f t="shared" si="66"/>
        <v>0</v>
      </c>
      <c r="CE41" t="str">
        <f t="shared" si="67"/>
        <v>029</v>
      </c>
      <c r="CF41" t="str">
        <f t="shared" si="68"/>
        <v>00</v>
      </c>
      <c r="CG41" t="str">
        <f t="shared" si="68"/>
        <v>00</v>
      </c>
      <c r="CH41" t="str">
        <f t="shared" si="68"/>
        <v>00</v>
      </c>
      <c r="CI41" t="str">
        <f t="shared" si="69"/>
        <v>01</v>
      </c>
      <c r="CJ41" t="str">
        <f t="shared" si="70"/>
        <v>04</v>
      </c>
      <c r="CK41" t="str">
        <f t="shared" si="71"/>
        <v>02</v>
      </c>
      <c r="CL41" t="str">
        <f t="shared" si="72"/>
        <v>02</v>
      </c>
      <c r="CM41" t="str">
        <f t="shared" si="73"/>
        <v>02</v>
      </c>
      <c r="CN41" t="str">
        <f t="shared" si="74"/>
        <v>02</v>
      </c>
      <c r="CO41" t="str">
        <f t="shared" si="75"/>
        <v>01</v>
      </c>
      <c r="CP41" t="str">
        <f t="shared" si="76"/>
        <v>00</v>
      </c>
      <c r="CQ41" t="str">
        <f t="shared" si="77"/>
        <v>00</v>
      </c>
      <c r="CR41" t="str">
        <f t="shared" si="78"/>
        <v>00</v>
      </c>
      <c r="CS41" t="str">
        <f t="shared" si="79"/>
        <v>00</v>
      </c>
      <c r="CT41" t="str">
        <f t="shared" si="80"/>
        <v>00</v>
      </c>
      <c r="CU41" t="str">
        <f t="shared" si="81"/>
        <v>00</v>
      </c>
      <c r="CV41" t="str">
        <f t="shared" si="82"/>
        <v>00</v>
      </c>
      <c r="CW41" t="str">
        <f t="shared" si="83"/>
        <v>00</v>
      </c>
      <c r="CX41" t="str">
        <f t="shared" si="84"/>
        <v>00</v>
      </c>
      <c r="CY41" t="str">
        <f t="shared" si="85"/>
        <v>00</v>
      </c>
      <c r="CZ41" t="str">
        <f t="shared" si="86"/>
        <v>00</v>
      </c>
      <c r="DA41" t="str">
        <f t="shared" si="87"/>
        <v>00</v>
      </c>
      <c r="DB41" t="str">
        <f t="shared" si="88"/>
        <v>07</v>
      </c>
      <c r="DC41" t="str">
        <f t="shared" si="89"/>
        <v>0104020202020100000000000000000000000007</v>
      </c>
      <c r="DD41" t="str">
        <f t="shared" si="90"/>
        <v>Request Jabatan1</v>
      </c>
      <c r="DE41" t="s">
        <v>148</v>
      </c>
      <c r="DF41" t="s">
        <v>223</v>
      </c>
      <c r="DG41" t="s">
        <v>224</v>
      </c>
      <c r="DH41" t="s">
        <v>225</v>
      </c>
      <c r="DI41" t="s">
        <v>226</v>
      </c>
      <c r="DJ41" t="s">
        <v>227</v>
      </c>
      <c r="DK41" t="s">
        <v>228</v>
      </c>
      <c r="DL41" t="str">
        <f t="shared" si="91"/>
        <v>029,00,00,00,01,04,02,02,02,02,01,00,00,00,00,00,00,00,00,00,00,00,00,07,0104020202020100000000000000000000000007,Request Jabatan1,file29,Blk1,Blk2,Blk3,Blk4,Blk5,Blk6</v>
      </c>
    </row>
    <row r="42" spans="2:116" x14ac:dyDescent="0.25">
      <c r="B42">
        <f t="shared" si="92"/>
        <v>30</v>
      </c>
      <c r="I42" t="s">
        <v>43</v>
      </c>
      <c r="W42">
        <f t="shared" si="115"/>
        <v>0</v>
      </c>
      <c r="X42">
        <f t="shared" si="116"/>
        <v>0</v>
      </c>
      <c r="Y42">
        <f t="shared" si="117"/>
        <v>0</v>
      </c>
      <c r="Z42">
        <f t="shared" si="118"/>
        <v>0</v>
      </c>
      <c r="AA42">
        <f t="shared" si="119"/>
        <v>0</v>
      </c>
      <c r="AB42">
        <f t="shared" si="120"/>
        <v>0</v>
      </c>
      <c r="AC42">
        <f t="shared" si="121"/>
        <v>1</v>
      </c>
      <c r="AD42">
        <f t="shared" si="122"/>
        <v>0</v>
      </c>
      <c r="AE42">
        <f t="shared" si="123"/>
        <v>0</v>
      </c>
      <c r="AF42">
        <f t="shared" si="124"/>
        <v>0</v>
      </c>
      <c r="AG42">
        <f t="shared" si="125"/>
        <v>0</v>
      </c>
      <c r="AH42">
        <f t="shared" si="126"/>
        <v>0</v>
      </c>
      <c r="AI42">
        <f t="shared" si="127"/>
        <v>0</v>
      </c>
      <c r="AJ42">
        <f t="shared" si="128"/>
        <v>0</v>
      </c>
      <c r="AK42">
        <f t="shared" si="129"/>
        <v>0</v>
      </c>
      <c r="AL42">
        <f t="shared" si="130"/>
        <v>0</v>
      </c>
      <c r="AM42">
        <f t="shared" si="131"/>
        <v>0</v>
      </c>
      <c r="AN42">
        <f t="shared" si="132"/>
        <v>0</v>
      </c>
      <c r="AO42">
        <f t="shared" si="133"/>
        <v>0</v>
      </c>
      <c r="AP42" s="2" t="str">
        <f t="shared" si="46"/>
        <v/>
      </c>
      <c r="AQ42" t="str">
        <f t="shared" si="140"/>
        <v>S</v>
      </c>
      <c r="AR42" t="str">
        <f t="shared" si="141"/>
        <v>S</v>
      </c>
      <c r="AS42" t="str">
        <f t="shared" si="142"/>
        <v>S</v>
      </c>
      <c r="AT42" t="str">
        <f t="shared" si="143"/>
        <v>S</v>
      </c>
      <c r="AU42" t="str">
        <f t="shared" si="144"/>
        <v>S</v>
      </c>
      <c r="AV42" t="str">
        <f t="shared" si="145"/>
        <v>S</v>
      </c>
      <c r="AW42" t="str">
        <f t="shared" si="146"/>
        <v>+</v>
      </c>
      <c r="AX42" t="str">
        <f t="shared" si="147"/>
        <v/>
      </c>
      <c r="AY42" t="str">
        <f t="shared" si="148"/>
        <v/>
      </c>
      <c r="AZ42" t="str">
        <f t="shared" si="149"/>
        <v/>
      </c>
      <c r="BA42" t="str">
        <f t="shared" si="150"/>
        <v/>
      </c>
      <c r="BB42" t="str">
        <f t="shared" si="151"/>
        <v/>
      </c>
      <c r="BC42" t="str">
        <f t="shared" si="152"/>
        <v/>
      </c>
      <c r="BD42" t="str">
        <f t="shared" si="153"/>
        <v/>
      </c>
      <c r="BE42" t="str">
        <f t="shared" si="154"/>
        <v/>
      </c>
      <c r="BF42" t="str">
        <f t="shared" si="155"/>
        <v/>
      </c>
      <c r="BG42" t="str">
        <f t="shared" si="156"/>
        <v/>
      </c>
      <c r="BH42" t="str">
        <f t="shared" si="157"/>
        <v/>
      </c>
      <c r="BI42" t="str">
        <f t="shared" si="158"/>
        <v/>
      </c>
      <c r="BK42">
        <f t="shared" si="48"/>
        <v>1</v>
      </c>
      <c r="BL42">
        <f t="shared" si="49"/>
        <v>4</v>
      </c>
      <c r="BM42">
        <f t="shared" si="50"/>
        <v>2</v>
      </c>
      <c r="BN42">
        <f t="shared" si="51"/>
        <v>2</v>
      </c>
      <c r="BO42">
        <f t="shared" si="52"/>
        <v>2</v>
      </c>
      <c r="BP42">
        <f t="shared" si="53"/>
        <v>2</v>
      </c>
      <c r="BQ42">
        <f t="shared" si="54"/>
        <v>2</v>
      </c>
      <c r="BR42">
        <f t="shared" si="55"/>
        <v>0</v>
      </c>
      <c r="BS42">
        <f t="shared" si="56"/>
        <v>0</v>
      </c>
      <c r="BT42">
        <f t="shared" si="57"/>
        <v>0</v>
      </c>
      <c r="BU42">
        <f t="shared" si="58"/>
        <v>0</v>
      </c>
      <c r="BV42">
        <f t="shared" si="59"/>
        <v>0</v>
      </c>
      <c r="BW42">
        <f t="shared" si="60"/>
        <v>0</v>
      </c>
      <c r="BX42">
        <f t="shared" si="61"/>
        <v>0</v>
      </c>
      <c r="BY42">
        <f t="shared" si="62"/>
        <v>0</v>
      </c>
      <c r="BZ42">
        <f t="shared" si="63"/>
        <v>0</v>
      </c>
      <c r="CA42">
        <f t="shared" si="64"/>
        <v>0</v>
      </c>
      <c r="CB42">
        <f t="shared" si="65"/>
        <v>0</v>
      </c>
      <c r="CC42">
        <f t="shared" si="66"/>
        <v>0</v>
      </c>
      <c r="CE42" t="str">
        <f t="shared" si="67"/>
        <v>030</v>
      </c>
      <c r="CF42" t="str">
        <f t="shared" si="68"/>
        <v>00</v>
      </c>
      <c r="CG42" t="str">
        <f t="shared" si="68"/>
        <v>00</v>
      </c>
      <c r="CH42" t="str">
        <f t="shared" si="68"/>
        <v>00</v>
      </c>
      <c r="CI42" t="str">
        <f t="shared" si="69"/>
        <v>01</v>
      </c>
      <c r="CJ42" t="str">
        <f t="shared" si="70"/>
        <v>04</v>
      </c>
      <c r="CK42" t="str">
        <f t="shared" si="71"/>
        <v>02</v>
      </c>
      <c r="CL42" t="str">
        <f t="shared" si="72"/>
        <v>02</v>
      </c>
      <c r="CM42" t="str">
        <f t="shared" si="73"/>
        <v>02</v>
      </c>
      <c r="CN42" t="str">
        <f t="shared" si="74"/>
        <v>02</v>
      </c>
      <c r="CO42" t="str">
        <f t="shared" si="75"/>
        <v>02</v>
      </c>
      <c r="CP42" t="str">
        <f t="shared" si="76"/>
        <v>00</v>
      </c>
      <c r="CQ42" t="str">
        <f t="shared" si="77"/>
        <v>00</v>
      </c>
      <c r="CR42" t="str">
        <f t="shared" si="78"/>
        <v>00</v>
      </c>
      <c r="CS42" t="str">
        <f t="shared" si="79"/>
        <v>00</v>
      </c>
      <c r="CT42" t="str">
        <f t="shared" si="80"/>
        <v>00</v>
      </c>
      <c r="CU42" t="str">
        <f t="shared" si="81"/>
        <v>00</v>
      </c>
      <c r="CV42" t="str">
        <f t="shared" si="82"/>
        <v>00</v>
      </c>
      <c r="CW42" t="str">
        <f t="shared" si="83"/>
        <v>00</v>
      </c>
      <c r="CX42" t="str">
        <f t="shared" si="84"/>
        <v>00</v>
      </c>
      <c r="CY42" t="str">
        <f t="shared" si="85"/>
        <v>00</v>
      </c>
      <c r="CZ42" t="str">
        <f t="shared" si="86"/>
        <v>00</v>
      </c>
      <c r="DA42" t="str">
        <f t="shared" si="87"/>
        <v>00</v>
      </c>
      <c r="DB42" t="str">
        <f t="shared" si="88"/>
        <v>07</v>
      </c>
      <c r="DC42" t="str">
        <f t="shared" si="89"/>
        <v>0104020202020200000000000000000000000007</v>
      </c>
      <c r="DD42" t="str">
        <f t="shared" si="90"/>
        <v>Request Jabatan2</v>
      </c>
      <c r="DE42" t="s">
        <v>149</v>
      </c>
      <c r="DF42" t="s">
        <v>223</v>
      </c>
      <c r="DG42" t="s">
        <v>224</v>
      </c>
      <c r="DH42" t="s">
        <v>225</v>
      </c>
      <c r="DI42" t="s">
        <v>226</v>
      </c>
      <c r="DJ42" t="s">
        <v>227</v>
      </c>
      <c r="DK42" t="s">
        <v>228</v>
      </c>
      <c r="DL42" t="str">
        <f t="shared" si="91"/>
        <v>030,00,00,00,01,04,02,02,02,02,02,00,00,00,00,00,00,00,00,00,00,00,00,07,0104020202020200000000000000000000000007,Request Jabatan2,file30,Blk1,Blk2,Blk3,Blk4,Blk5,Blk6</v>
      </c>
    </row>
    <row r="43" spans="2:116" x14ac:dyDescent="0.25">
      <c r="B43">
        <f t="shared" si="92"/>
        <v>31</v>
      </c>
      <c r="J43" t="s">
        <v>44</v>
      </c>
      <c r="W43">
        <f t="shared" si="115"/>
        <v>0</v>
      </c>
      <c r="X43">
        <f t="shared" si="116"/>
        <v>0</v>
      </c>
      <c r="Y43">
        <f t="shared" si="117"/>
        <v>0</v>
      </c>
      <c r="Z43">
        <f t="shared" si="118"/>
        <v>0</v>
      </c>
      <c r="AA43">
        <f t="shared" si="119"/>
        <v>0</v>
      </c>
      <c r="AB43">
        <f t="shared" si="120"/>
        <v>0</v>
      </c>
      <c r="AC43">
        <f t="shared" si="121"/>
        <v>0</v>
      </c>
      <c r="AD43">
        <f t="shared" si="122"/>
        <v>1</v>
      </c>
      <c r="AE43">
        <f t="shared" si="123"/>
        <v>0</v>
      </c>
      <c r="AF43">
        <f t="shared" si="124"/>
        <v>0</v>
      </c>
      <c r="AG43">
        <f t="shared" si="125"/>
        <v>0</v>
      </c>
      <c r="AH43">
        <f t="shared" si="126"/>
        <v>0</v>
      </c>
      <c r="AI43">
        <f t="shared" si="127"/>
        <v>0</v>
      </c>
      <c r="AJ43">
        <f t="shared" si="128"/>
        <v>0</v>
      </c>
      <c r="AK43">
        <f t="shared" si="129"/>
        <v>0</v>
      </c>
      <c r="AL43">
        <f t="shared" si="130"/>
        <v>0</v>
      </c>
      <c r="AM43">
        <f t="shared" si="131"/>
        <v>0</v>
      </c>
      <c r="AN43">
        <f t="shared" si="132"/>
        <v>0</v>
      </c>
      <c r="AO43">
        <f t="shared" si="133"/>
        <v>0</v>
      </c>
      <c r="AP43" s="2" t="str">
        <f t="shared" si="46"/>
        <v/>
      </c>
      <c r="AQ43" t="str">
        <f t="shared" si="140"/>
        <v>S</v>
      </c>
      <c r="AR43" t="str">
        <f t="shared" si="141"/>
        <v>S</v>
      </c>
      <c r="AS43" t="str">
        <f t="shared" si="142"/>
        <v>S</v>
      </c>
      <c r="AT43" t="str">
        <f t="shared" si="143"/>
        <v>S</v>
      </c>
      <c r="AU43" t="str">
        <f t="shared" si="144"/>
        <v>S</v>
      </c>
      <c r="AV43" t="str">
        <f t="shared" si="145"/>
        <v>S</v>
      </c>
      <c r="AW43" t="str">
        <f t="shared" si="146"/>
        <v>S</v>
      </c>
      <c r="AX43">
        <f t="shared" si="147"/>
        <v>1</v>
      </c>
      <c r="AY43" t="str">
        <f t="shared" si="148"/>
        <v/>
      </c>
      <c r="AZ43" t="str">
        <f t="shared" si="149"/>
        <v/>
      </c>
      <c r="BA43" t="str">
        <f t="shared" si="150"/>
        <v/>
      </c>
      <c r="BB43" t="str">
        <f t="shared" si="151"/>
        <v/>
      </c>
      <c r="BC43" t="str">
        <f t="shared" si="152"/>
        <v/>
      </c>
      <c r="BD43" t="str">
        <f t="shared" si="153"/>
        <v/>
      </c>
      <c r="BE43" t="str">
        <f t="shared" si="154"/>
        <v/>
      </c>
      <c r="BF43" t="str">
        <f t="shared" si="155"/>
        <v/>
      </c>
      <c r="BG43" t="str">
        <f t="shared" si="156"/>
        <v/>
      </c>
      <c r="BH43" t="str">
        <f t="shared" si="157"/>
        <v/>
      </c>
      <c r="BI43" t="str">
        <f t="shared" si="158"/>
        <v/>
      </c>
      <c r="BK43">
        <f t="shared" si="48"/>
        <v>1</v>
      </c>
      <c r="BL43">
        <f t="shared" si="49"/>
        <v>4</v>
      </c>
      <c r="BM43">
        <f t="shared" si="50"/>
        <v>2</v>
      </c>
      <c r="BN43">
        <f t="shared" si="51"/>
        <v>2</v>
      </c>
      <c r="BO43">
        <f t="shared" si="52"/>
        <v>2</v>
      </c>
      <c r="BP43">
        <f t="shared" si="53"/>
        <v>2</v>
      </c>
      <c r="BQ43">
        <f t="shared" si="54"/>
        <v>2</v>
      </c>
      <c r="BR43">
        <f t="shared" si="55"/>
        <v>1</v>
      </c>
      <c r="BS43">
        <f t="shared" si="56"/>
        <v>0</v>
      </c>
      <c r="BT43">
        <f t="shared" si="57"/>
        <v>0</v>
      </c>
      <c r="BU43">
        <f t="shared" si="58"/>
        <v>0</v>
      </c>
      <c r="BV43">
        <f t="shared" si="59"/>
        <v>0</v>
      </c>
      <c r="BW43">
        <f t="shared" si="60"/>
        <v>0</v>
      </c>
      <c r="BX43">
        <f t="shared" si="61"/>
        <v>0</v>
      </c>
      <c r="BY43">
        <f t="shared" si="62"/>
        <v>0</v>
      </c>
      <c r="BZ43">
        <f t="shared" si="63"/>
        <v>0</v>
      </c>
      <c r="CA43">
        <f t="shared" si="64"/>
        <v>0</v>
      </c>
      <c r="CB43">
        <f t="shared" si="65"/>
        <v>0</v>
      </c>
      <c r="CC43">
        <f t="shared" si="66"/>
        <v>0</v>
      </c>
      <c r="CE43" t="str">
        <f t="shared" si="67"/>
        <v>031</v>
      </c>
      <c r="CF43" t="str">
        <f t="shared" si="68"/>
        <v>00</v>
      </c>
      <c r="CG43" t="str">
        <f t="shared" si="68"/>
        <v>00</v>
      </c>
      <c r="CH43" t="str">
        <f t="shared" si="68"/>
        <v>00</v>
      </c>
      <c r="CI43" t="str">
        <f t="shared" si="69"/>
        <v>01</v>
      </c>
      <c r="CJ43" t="str">
        <f t="shared" si="70"/>
        <v>04</v>
      </c>
      <c r="CK43" t="str">
        <f t="shared" si="71"/>
        <v>02</v>
      </c>
      <c r="CL43" t="str">
        <f t="shared" si="72"/>
        <v>02</v>
      </c>
      <c r="CM43" t="str">
        <f t="shared" si="73"/>
        <v>02</v>
      </c>
      <c r="CN43" t="str">
        <f t="shared" si="74"/>
        <v>02</v>
      </c>
      <c r="CO43" t="str">
        <f t="shared" si="75"/>
        <v>02</v>
      </c>
      <c r="CP43" t="str">
        <f t="shared" si="76"/>
        <v>01</v>
      </c>
      <c r="CQ43" t="str">
        <f t="shared" si="77"/>
        <v>00</v>
      </c>
      <c r="CR43" t="str">
        <f t="shared" si="78"/>
        <v>00</v>
      </c>
      <c r="CS43" t="str">
        <f t="shared" si="79"/>
        <v>00</v>
      </c>
      <c r="CT43" t="str">
        <f t="shared" si="80"/>
        <v>00</v>
      </c>
      <c r="CU43" t="str">
        <f t="shared" si="81"/>
        <v>00</v>
      </c>
      <c r="CV43" t="str">
        <f t="shared" si="82"/>
        <v>00</v>
      </c>
      <c r="CW43" t="str">
        <f t="shared" si="83"/>
        <v>00</v>
      </c>
      <c r="CX43" t="str">
        <f t="shared" si="84"/>
        <v>00</v>
      </c>
      <c r="CY43" t="str">
        <f t="shared" si="85"/>
        <v>00</v>
      </c>
      <c r="CZ43" t="str">
        <f t="shared" si="86"/>
        <v>00</v>
      </c>
      <c r="DA43" t="str">
        <f t="shared" si="87"/>
        <v>00</v>
      </c>
      <c r="DB43" t="str">
        <f t="shared" si="88"/>
        <v>08</v>
      </c>
      <c r="DC43" t="str">
        <f t="shared" si="89"/>
        <v>0104020202020201000000000000000000000008</v>
      </c>
      <c r="DD43" t="str">
        <f t="shared" si="90"/>
        <v>Request Jabatan 2 lama</v>
      </c>
      <c r="DE43" t="s">
        <v>150</v>
      </c>
      <c r="DF43" t="s">
        <v>223</v>
      </c>
      <c r="DG43" t="s">
        <v>224</v>
      </c>
      <c r="DH43" t="s">
        <v>225</v>
      </c>
      <c r="DI43" t="s">
        <v>226</v>
      </c>
      <c r="DJ43" t="s">
        <v>227</v>
      </c>
      <c r="DK43" t="s">
        <v>228</v>
      </c>
      <c r="DL43" t="str">
        <f t="shared" si="91"/>
        <v>031,00,00,00,01,04,02,02,02,02,02,01,00,00,00,00,00,00,00,00,00,00,00,08,0104020202020201000000000000000000000008,Request Jabatan 2 lama,file31,Blk1,Blk2,Blk3,Blk4,Blk5,Blk6</v>
      </c>
    </row>
    <row r="44" spans="2:116" x14ac:dyDescent="0.25">
      <c r="B44">
        <f t="shared" si="92"/>
        <v>32</v>
      </c>
      <c r="K44" t="s">
        <v>45</v>
      </c>
      <c r="W44">
        <f t="shared" si="115"/>
        <v>0</v>
      </c>
      <c r="X44">
        <f t="shared" si="116"/>
        <v>0</v>
      </c>
      <c r="Y44">
        <f t="shared" si="117"/>
        <v>0</v>
      </c>
      <c r="Z44">
        <f t="shared" si="118"/>
        <v>0</v>
      </c>
      <c r="AA44">
        <f t="shared" si="119"/>
        <v>0</v>
      </c>
      <c r="AB44">
        <f t="shared" si="120"/>
        <v>0</v>
      </c>
      <c r="AC44">
        <f t="shared" si="121"/>
        <v>0</v>
      </c>
      <c r="AD44">
        <f t="shared" si="122"/>
        <v>0</v>
      </c>
      <c r="AE44">
        <f t="shared" si="123"/>
        <v>1</v>
      </c>
      <c r="AF44">
        <f t="shared" si="124"/>
        <v>0</v>
      </c>
      <c r="AG44">
        <f t="shared" si="125"/>
        <v>0</v>
      </c>
      <c r="AH44">
        <f t="shared" si="126"/>
        <v>0</v>
      </c>
      <c r="AI44">
        <f t="shared" si="127"/>
        <v>0</v>
      </c>
      <c r="AJ44">
        <f t="shared" si="128"/>
        <v>0</v>
      </c>
      <c r="AK44">
        <f t="shared" si="129"/>
        <v>0</v>
      </c>
      <c r="AL44">
        <f t="shared" si="130"/>
        <v>0</v>
      </c>
      <c r="AM44">
        <f t="shared" si="131"/>
        <v>0</v>
      </c>
      <c r="AN44">
        <f t="shared" si="132"/>
        <v>0</v>
      </c>
      <c r="AO44">
        <f t="shared" si="133"/>
        <v>0</v>
      </c>
      <c r="AP44" s="2" t="str">
        <f t="shared" si="46"/>
        <v/>
      </c>
      <c r="AQ44" t="str">
        <f t="shared" si="140"/>
        <v>S</v>
      </c>
      <c r="AR44" t="str">
        <f t="shared" si="141"/>
        <v>S</v>
      </c>
      <c r="AS44" t="str">
        <f t="shared" si="142"/>
        <v>S</v>
      </c>
      <c r="AT44" t="str">
        <f t="shared" si="143"/>
        <v>S</v>
      </c>
      <c r="AU44" t="str">
        <f t="shared" si="144"/>
        <v>S</v>
      </c>
      <c r="AV44" t="str">
        <f t="shared" si="145"/>
        <v>S</v>
      </c>
      <c r="AW44" t="str">
        <f t="shared" si="146"/>
        <v>S</v>
      </c>
      <c r="AX44" t="str">
        <f t="shared" si="147"/>
        <v>S</v>
      </c>
      <c r="AY44">
        <f t="shared" si="148"/>
        <v>1</v>
      </c>
      <c r="AZ44" t="str">
        <f t="shared" si="149"/>
        <v/>
      </c>
      <c r="BA44" t="str">
        <f t="shared" si="150"/>
        <v/>
      </c>
      <c r="BB44" t="str">
        <f t="shared" si="151"/>
        <v/>
      </c>
      <c r="BC44" t="str">
        <f t="shared" si="152"/>
        <v/>
      </c>
      <c r="BD44" t="str">
        <f t="shared" si="153"/>
        <v/>
      </c>
      <c r="BE44" t="str">
        <f t="shared" si="154"/>
        <v/>
      </c>
      <c r="BF44" t="str">
        <f t="shared" si="155"/>
        <v/>
      </c>
      <c r="BG44" t="str">
        <f t="shared" si="156"/>
        <v/>
      </c>
      <c r="BH44" t="str">
        <f t="shared" si="157"/>
        <v/>
      </c>
      <c r="BI44" t="str">
        <f t="shared" si="158"/>
        <v/>
      </c>
      <c r="BK44">
        <f t="shared" si="48"/>
        <v>1</v>
      </c>
      <c r="BL44">
        <f t="shared" si="49"/>
        <v>4</v>
      </c>
      <c r="BM44">
        <f t="shared" si="50"/>
        <v>2</v>
      </c>
      <c r="BN44">
        <f t="shared" si="51"/>
        <v>2</v>
      </c>
      <c r="BO44">
        <f t="shared" si="52"/>
        <v>2</v>
      </c>
      <c r="BP44">
        <f t="shared" si="53"/>
        <v>2</v>
      </c>
      <c r="BQ44">
        <f t="shared" si="54"/>
        <v>2</v>
      </c>
      <c r="BR44">
        <f t="shared" si="55"/>
        <v>1</v>
      </c>
      <c r="BS44">
        <f t="shared" si="56"/>
        <v>1</v>
      </c>
      <c r="BT44">
        <f t="shared" si="57"/>
        <v>0</v>
      </c>
      <c r="BU44">
        <f t="shared" si="58"/>
        <v>0</v>
      </c>
      <c r="BV44">
        <f t="shared" si="59"/>
        <v>0</v>
      </c>
      <c r="BW44">
        <f t="shared" si="60"/>
        <v>0</v>
      </c>
      <c r="BX44">
        <f t="shared" si="61"/>
        <v>0</v>
      </c>
      <c r="BY44">
        <f t="shared" si="62"/>
        <v>0</v>
      </c>
      <c r="BZ44">
        <f t="shared" si="63"/>
        <v>0</v>
      </c>
      <c r="CA44">
        <f t="shared" si="64"/>
        <v>0</v>
      </c>
      <c r="CB44">
        <f t="shared" si="65"/>
        <v>0</v>
      </c>
      <c r="CC44">
        <f t="shared" si="66"/>
        <v>0</v>
      </c>
      <c r="CE44" t="str">
        <f t="shared" si="67"/>
        <v>032</v>
      </c>
      <c r="CF44" t="str">
        <f t="shared" si="68"/>
        <v>00</v>
      </c>
      <c r="CG44" t="str">
        <f t="shared" si="68"/>
        <v>00</v>
      </c>
      <c r="CH44" t="str">
        <f t="shared" si="68"/>
        <v>00</v>
      </c>
      <c r="CI44" t="str">
        <f t="shared" si="69"/>
        <v>01</v>
      </c>
      <c r="CJ44" t="str">
        <f t="shared" si="70"/>
        <v>04</v>
      </c>
      <c r="CK44" t="str">
        <f t="shared" si="71"/>
        <v>02</v>
      </c>
      <c r="CL44" t="str">
        <f t="shared" si="72"/>
        <v>02</v>
      </c>
      <c r="CM44" t="str">
        <f t="shared" si="73"/>
        <v>02</v>
      </c>
      <c r="CN44" t="str">
        <f t="shared" si="74"/>
        <v>02</v>
      </c>
      <c r="CO44" t="str">
        <f t="shared" si="75"/>
        <v>02</v>
      </c>
      <c r="CP44" t="str">
        <f t="shared" si="76"/>
        <v>01</v>
      </c>
      <c r="CQ44" t="str">
        <f t="shared" si="77"/>
        <v>01</v>
      </c>
      <c r="CR44" t="str">
        <f t="shared" si="78"/>
        <v>00</v>
      </c>
      <c r="CS44" t="str">
        <f t="shared" si="79"/>
        <v>00</v>
      </c>
      <c r="CT44" t="str">
        <f t="shared" si="80"/>
        <v>00</v>
      </c>
      <c r="CU44" t="str">
        <f t="shared" si="81"/>
        <v>00</v>
      </c>
      <c r="CV44" t="str">
        <f t="shared" si="82"/>
        <v>00</v>
      </c>
      <c r="CW44" t="str">
        <f t="shared" si="83"/>
        <v>00</v>
      </c>
      <c r="CX44" t="str">
        <f t="shared" si="84"/>
        <v>00</v>
      </c>
      <c r="CY44" t="str">
        <f t="shared" si="85"/>
        <v>00</v>
      </c>
      <c r="CZ44" t="str">
        <f t="shared" si="86"/>
        <v>00</v>
      </c>
      <c r="DA44" t="str">
        <f t="shared" si="87"/>
        <v>00</v>
      </c>
      <c r="DB44" t="str">
        <f t="shared" si="88"/>
        <v>09</v>
      </c>
      <c r="DC44" t="str">
        <f t="shared" si="89"/>
        <v>0104020202020201010000000000000000000009</v>
      </c>
      <c r="DD44" t="str">
        <f t="shared" si="90"/>
        <v>Request lama sangat</v>
      </c>
      <c r="DE44" t="s">
        <v>151</v>
      </c>
      <c r="DF44" t="s">
        <v>223</v>
      </c>
      <c r="DG44" t="s">
        <v>224</v>
      </c>
      <c r="DH44" t="s">
        <v>225</v>
      </c>
      <c r="DI44" t="s">
        <v>226</v>
      </c>
      <c r="DJ44" t="s">
        <v>227</v>
      </c>
      <c r="DK44" t="s">
        <v>228</v>
      </c>
      <c r="DL44" t="str">
        <f t="shared" si="91"/>
        <v>032,00,00,00,01,04,02,02,02,02,02,01,01,00,00,00,00,00,00,00,00,00,00,09,0104020202020201010000000000000000000009,Request lama sangat,file32,Blk1,Blk2,Blk3,Blk4,Blk5,Blk6</v>
      </c>
    </row>
    <row r="45" spans="2:116" x14ac:dyDescent="0.25">
      <c r="B45">
        <f t="shared" si="92"/>
        <v>33</v>
      </c>
      <c r="L45" t="s">
        <v>46</v>
      </c>
      <c r="W45">
        <f t="shared" si="115"/>
        <v>0</v>
      </c>
      <c r="X45">
        <f t="shared" si="116"/>
        <v>0</v>
      </c>
      <c r="Y45">
        <f t="shared" si="117"/>
        <v>0</v>
      </c>
      <c r="Z45">
        <f t="shared" si="118"/>
        <v>0</v>
      </c>
      <c r="AA45">
        <f t="shared" si="119"/>
        <v>0</v>
      </c>
      <c r="AB45">
        <f t="shared" si="120"/>
        <v>0</v>
      </c>
      <c r="AC45">
        <f t="shared" si="121"/>
        <v>0</v>
      </c>
      <c r="AD45">
        <f t="shared" si="122"/>
        <v>0</v>
      </c>
      <c r="AE45">
        <f t="shared" si="123"/>
        <v>0</v>
      </c>
      <c r="AF45">
        <f t="shared" si="124"/>
        <v>1</v>
      </c>
      <c r="AG45">
        <f t="shared" si="125"/>
        <v>0</v>
      </c>
      <c r="AH45">
        <f t="shared" si="126"/>
        <v>0</v>
      </c>
      <c r="AI45">
        <f t="shared" si="127"/>
        <v>0</v>
      </c>
      <c r="AJ45">
        <f t="shared" si="128"/>
        <v>0</v>
      </c>
      <c r="AK45">
        <f t="shared" si="129"/>
        <v>0</v>
      </c>
      <c r="AL45">
        <f t="shared" si="130"/>
        <v>0</v>
      </c>
      <c r="AM45">
        <f t="shared" si="131"/>
        <v>0</v>
      </c>
      <c r="AN45">
        <f t="shared" si="132"/>
        <v>0</v>
      </c>
      <c r="AO45">
        <f t="shared" si="133"/>
        <v>0</v>
      </c>
      <c r="AP45" s="2" t="str">
        <f t="shared" si="46"/>
        <v/>
      </c>
      <c r="AQ45" t="str">
        <f t="shared" si="140"/>
        <v>S</v>
      </c>
      <c r="AR45" t="str">
        <f t="shared" si="141"/>
        <v>S</v>
      </c>
      <c r="AS45" t="str">
        <f t="shared" si="142"/>
        <v>S</v>
      </c>
      <c r="AT45" t="str">
        <f t="shared" si="143"/>
        <v>S</v>
      </c>
      <c r="AU45" t="str">
        <f t="shared" si="144"/>
        <v>S</v>
      </c>
      <c r="AV45" t="str">
        <f t="shared" si="145"/>
        <v>S</v>
      </c>
      <c r="AW45" t="str">
        <f t="shared" si="146"/>
        <v>S</v>
      </c>
      <c r="AX45" t="str">
        <f t="shared" si="147"/>
        <v>S</v>
      </c>
      <c r="AY45" t="str">
        <f t="shared" si="148"/>
        <v>S</v>
      </c>
      <c r="AZ45">
        <f t="shared" si="149"/>
        <v>1</v>
      </c>
      <c r="BA45" t="str">
        <f t="shared" si="150"/>
        <v/>
      </c>
      <c r="BB45" t="str">
        <f t="shared" si="151"/>
        <v/>
      </c>
      <c r="BC45" t="str">
        <f t="shared" si="152"/>
        <v/>
      </c>
      <c r="BD45" t="str">
        <f t="shared" si="153"/>
        <v/>
      </c>
      <c r="BE45" t="str">
        <f t="shared" si="154"/>
        <v/>
      </c>
      <c r="BF45" t="str">
        <f t="shared" si="155"/>
        <v/>
      </c>
      <c r="BG45" t="str">
        <f t="shared" si="156"/>
        <v/>
      </c>
      <c r="BH45" t="str">
        <f t="shared" si="157"/>
        <v/>
      </c>
      <c r="BI45" t="str">
        <f t="shared" si="158"/>
        <v/>
      </c>
      <c r="BK45">
        <f t="shared" si="48"/>
        <v>1</v>
      </c>
      <c r="BL45">
        <f t="shared" si="49"/>
        <v>4</v>
      </c>
      <c r="BM45">
        <f t="shared" si="50"/>
        <v>2</v>
      </c>
      <c r="BN45">
        <f t="shared" si="51"/>
        <v>2</v>
      </c>
      <c r="BO45">
        <f t="shared" si="52"/>
        <v>2</v>
      </c>
      <c r="BP45">
        <f t="shared" si="53"/>
        <v>2</v>
      </c>
      <c r="BQ45">
        <f t="shared" si="54"/>
        <v>2</v>
      </c>
      <c r="BR45">
        <f t="shared" si="55"/>
        <v>1</v>
      </c>
      <c r="BS45">
        <f t="shared" si="56"/>
        <v>1</v>
      </c>
      <c r="BT45">
        <f t="shared" si="57"/>
        <v>1</v>
      </c>
      <c r="BU45">
        <f t="shared" si="58"/>
        <v>0</v>
      </c>
      <c r="BV45">
        <f t="shared" si="59"/>
        <v>0</v>
      </c>
      <c r="BW45">
        <f t="shared" si="60"/>
        <v>0</v>
      </c>
      <c r="BX45">
        <f t="shared" si="61"/>
        <v>0</v>
      </c>
      <c r="BY45">
        <f t="shared" si="62"/>
        <v>0</v>
      </c>
      <c r="BZ45">
        <f t="shared" si="63"/>
        <v>0</v>
      </c>
      <c r="CA45">
        <f t="shared" si="64"/>
        <v>0</v>
      </c>
      <c r="CB45">
        <f t="shared" si="65"/>
        <v>0</v>
      </c>
      <c r="CC45">
        <f t="shared" si="66"/>
        <v>0</v>
      </c>
      <c r="CE45" t="str">
        <f t="shared" si="67"/>
        <v>033</v>
      </c>
      <c r="CF45" t="str">
        <f t="shared" si="68"/>
        <v>00</v>
      </c>
      <c r="CG45" t="str">
        <f t="shared" si="68"/>
        <v>00</v>
      </c>
      <c r="CH45" t="str">
        <f t="shared" si="68"/>
        <v>00</v>
      </c>
      <c r="CI45" t="str">
        <f t="shared" si="69"/>
        <v>01</v>
      </c>
      <c r="CJ45" t="str">
        <f t="shared" si="70"/>
        <v>04</v>
      </c>
      <c r="CK45" t="str">
        <f t="shared" si="71"/>
        <v>02</v>
      </c>
      <c r="CL45" t="str">
        <f t="shared" si="72"/>
        <v>02</v>
      </c>
      <c r="CM45" t="str">
        <f t="shared" si="73"/>
        <v>02</v>
      </c>
      <c r="CN45" t="str">
        <f t="shared" si="74"/>
        <v>02</v>
      </c>
      <c r="CO45" t="str">
        <f t="shared" si="75"/>
        <v>02</v>
      </c>
      <c r="CP45" t="str">
        <f t="shared" si="76"/>
        <v>01</v>
      </c>
      <c r="CQ45" t="str">
        <f t="shared" si="77"/>
        <v>01</v>
      </c>
      <c r="CR45" t="str">
        <f t="shared" si="78"/>
        <v>01</v>
      </c>
      <c r="CS45" t="str">
        <f t="shared" si="79"/>
        <v>00</v>
      </c>
      <c r="CT45" t="str">
        <f t="shared" si="80"/>
        <v>00</v>
      </c>
      <c r="CU45" t="str">
        <f t="shared" si="81"/>
        <v>00</v>
      </c>
      <c r="CV45" t="str">
        <f t="shared" si="82"/>
        <v>00</v>
      </c>
      <c r="CW45" t="str">
        <f t="shared" si="83"/>
        <v>00</v>
      </c>
      <c r="CX45" t="str">
        <f t="shared" si="84"/>
        <v>00</v>
      </c>
      <c r="CY45" t="str">
        <f t="shared" si="85"/>
        <v>00</v>
      </c>
      <c r="CZ45" t="str">
        <f t="shared" si="86"/>
        <v>00</v>
      </c>
      <c r="DA45" t="str">
        <f t="shared" si="87"/>
        <v>00</v>
      </c>
      <c r="DB45" t="str">
        <f t="shared" si="88"/>
        <v>10</v>
      </c>
      <c r="DC45" t="str">
        <f t="shared" si="89"/>
        <v>0104020202020201010100000000000000000010</v>
      </c>
      <c r="DD45" t="str">
        <f t="shared" si="90"/>
        <v>Request lama sangat 1</v>
      </c>
      <c r="DE45" t="s">
        <v>152</v>
      </c>
      <c r="DF45" t="s">
        <v>223</v>
      </c>
      <c r="DG45" t="s">
        <v>224</v>
      </c>
      <c r="DH45" t="s">
        <v>225</v>
      </c>
      <c r="DI45" t="s">
        <v>226</v>
      </c>
      <c r="DJ45" t="s">
        <v>227</v>
      </c>
      <c r="DK45" t="s">
        <v>228</v>
      </c>
      <c r="DL45" t="str">
        <f t="shared" si="91"/>
        <v>033,00,00,00,01,04,02,02,02,02,02,01,01,01,00,00,00,00,00,00,00,00,00,10,0104020202020201010100000000000000000010,Request lama sangat 1,file33,Blk1,Blk2,Blk3,Blk4,Blk5,Blk6</v>
      </c>
    </row>
    <row r="46" spans="2:116" x14ac:dyDescent="0.25">
      <c r="B46">
        <f t="shared" si="92"/>
        <v>34</v>
      </c>
      <c r="L46" t="s">
        <v>47</v>
      </c>
      <c r="W46">
        <f t="shared" si="115"/>
        <v>0</v>
      </c>
      <c r="X46">
        <f t="shared" si="116"/>
        <v>0</v>
      </c>
      <c r="Y46">
        <f t="shared" si="117"/>
        <v>0</v>
      </c>
      <c r="Z46">
        <f t="shared" si="118"/>
        <v>0</v>
      </c>
      <c r="AA46">
        <f t="shared" si="119"/>
        <v>0</v>
      </c>
      <c r="AB46">
        <f t="shared" si="120"/>
        <v>0</v>
      </c>
      <c r="AC46">
        <f t="shared" si="121"/>
        <v>0</v>
      </c>
      <c r="AD46">
        <f t="shared" si="122"/>
        <v>0</v>
      </c>
      <c r="AE46">
        <f t="shared" si="123"/>
        <v>0</v>
      </c>
      <c r="AF46">
        <f t="shared" si="124"/>
        <v>1</v>
      </c>
      <c r="AG46">
        <f t="shared" si="125"/>
        <v>0</v>
      </c>
      <c r="AH46">
        <f t="shared" si="126"/>
        <v>0</v>
      </c>
      <c r="AI46">
        <f t="shared" si="127"/>
        <v>0</v>
      </c>
      <c r="AJ46">
        <f t="shared" si="128"/>
        <v>0</v>
      </c>
      <c r="AK46">
        <f t="shared" si="129"/>
        <v>0</v>
      </c>
      <c r="AL46">
        <f t="shared" si="130"/>
        <v>0</v>
      </c>
      <c r="AM46">
        <f t="shared" si="131"/>
        <v>0</v>
      </c>
      <c r="AN46">
        <f t="shared" si="132"/>
        <v>0</v>
      </c>
      <c r="AO46">
        <f t="shared" si="133"/>
        <v>0</v>
      </c>
      <c r="AP46" s="2" t="str">
        <f t="shared" si="46"/>
        <v/>
      </c>
      <c r="AQ46" t="str">
        <f t="shared" si="140"/>
        <v>S</v>
      </c>
      <c r="AR46" t="str">
        <f t="shared" si="141"/>
        <v>S</v>
      </c>
      <c r="AS46" t="str">
        <f t="shared" si="142"/>
        <v>S</v>
      </c>
      <c r="AT46" t="str">
        <f t="shared" si="143"/>
        <v>S</v>
      </c>
      <c r="AU46" t="str">
        <f t="shared" si="144"/>
        <v>S</v>
      </c>
      <c r="AV46" t="str">
        <f t="shared" si="145"/>
        <v>S</v>
      </c>
      <c r="AW46" t="str">
        <f t="shared" si="146"/>
        <v>S</v>
      </c>
      <c r="AX46" t="str">
        <f t="shared" si="147"/>
        <v>S</v>
      </c>
      <c r="AY46" t="str">
        <f t="shared" si="148"/>
        <v>S</v>
      </c>
      <c r="AZ46" t="str">
        <f t="shared" si="149"/>
        <v>+</v>
      </c>
      <c r="BA46" t="str">
        <f t="shared" si="150"/>
        <v/>
      </c>
      <c r="BB46" t="str">
        <f t="shared" si="151"/>
        <v/>
      </c>
      <c r="BC46" t="str">
        <f t="shared" si="152"/>
        <v/>
      </c>
      <c r="BD46" t="str">
        <f t="shared" si="153"/>
        <v/>
      </c>
      <c r="BE46" t="str">
        <f t="shared" si="154"/>
        <v/>
      </c>
      <c r="BF46" t="str">
        <f t="shared" si="155"/>
        <v/>
      </c>
      <c r="BG46" t="str">
        <f t="shared" si="156"/>
        <v/>
      </c>
      <c r="BH46" t="str">
        <f t="shared" si="157"/>
        <v/>
      </c>
      <c r="BI46" t="str">
        <f t="shared" si="158"/>
        <v/>
      </c>
      <c r="BK46">
        <f t="shared" si="48"/>
        <v>1</v>
      </c>
      <c r="BL46">
        <f t="shared" si="49"/>
        <v>4</v>
      </c>
      <c r="BM46">
        <f t="shared" si="50"/>
        <v>2</v>
      </c>
      <c r="BN46">
        <f t="shared" si="51"/>
        <v>2</v>
      </c>
      <c r="BO46">
        <f t="shared" si="52"/>
        <v>2</v>
      </c>
      <c r="BP46">
        <f t="shared" si="53"/>
        <v>2</v>
      </c>
      <c r="BQ46">
        <f t="shared" si="54"/>
        <v>2</v>
      </c>
      <c r="BR46">
        <f t="shared" si="55"/>
        <v>1</v>
      </c>
      <c r="BS46">
        <f t="shared" si="56"/>
        <v>1</v>
      </c>
      <c r="BT46">
        <f t="shared" si="57"/>
        <v>2</v>
      </c>
      <c r="BU46">
        <f t="shared" si="58"/>
        <v>0</v>
      </c>
      <c r="BV46">
        <f t="shared" si="59"/>
        <v>0</v>
      </c>
      <c r="BW46">
        <f t="shared" si="60"/>
        <v>0</v>
      </c>
      <c r="BX46">
        <f t="shared" si="61"/>
        <v>0</v>
      </c>
      <c r="BY46">
        <f t="shared" si="62"/>
        <v>0</v>
      </c>
      <c r="BZ46">
        <f t="shared" si="63"/>
        <v>0</v>
      </c>
      <c r="CA46">
        <f t="shared" si="64"/>
        <v>0</v>
      </c>
      <c r="CB46">
        <f t="shared" si="65"/>
        <v>0</v>
      </c>
      <c r="CC46">
        <f t="shared" si="66"/>
        <v>0</v>
      </c>
      <c r="CE46" t="str">
        <f t="shared" si="67"/>
        <v>034</v>
      </c>
      <c r="CF46" t="str">
        <f t="shared" ref="CF46:CH77" si="159">TEXT(0,"00")</f>
        <v>00</v>
      </c>
      <c r="CG46" t="str">
        <f t="shared" si="159"/>
        <v>00</v>
      </c>
      <c r="CH46" t="str">
        <f t="shared" si="159"/>
        <v>00</v>
      </c>
      <c r="CI46" t="str">
        <f t="shared" si="69"/>
        <v>01</v>
      </c>
      <c r="CJ46" t="str">
        <f t="shared" si="70"/>
        <v>04</v>
      </c>
      <c r="CK46" t="str">
        <f t="shared" si="71"/>
        <v>02</v>
      </c>
      <c r="CL46" t="str">
        <f t="shared" si="72"/>
        <v>02</v>
      </c>
      <c r="CM46" t="str">
        <f t="shared" si="73"/>
        <v>02</v>
      </c>
      <c r="CN46" t="str">
        <f t="shared" si="74"/>
        <v>02</v>
      </c>
      <c r="CO46" t="str">
        <f t="shared" si="75"/>
        <v>02</v>
      </c>
      <c r="CP46" t="str">
        <f t="shared" si="76"/>
        <v>01</v>
      </c>
      <c r="CQ46" t="str">
        <f t="shared" si="77"/>
        <v>01</v>
      </c>
      <c r="CR46" t="str">
        <f t="shared" si="78"/>
        <v>02</v>
      </c>
      <c r="CS46" t="str">
        <f t="shared" si="79"/>
        <v>00</v>
      </c>
      <c r="CT46" t="str">
        <f t="shared" si="80"/>
        <v>00</v>
      </c>
      <c r="CU46" t="str">
        <f t="shared" si="81"/>
        <v>00</v>
      </c>
      <c r="CV46" t="str">
        <f t="shared" si="82"/>
        <v>00</v>
      </c>
      <c r="CW46" t="str">
        <f t="shared" si="83"/>
        <v>00</v>
      </c>
      <c r="CX46" t="str">
        <f t="shared" si="84"/>
        <v>00</v>
      </c>
      <c r="CY46" t="str">
        <f t="shared" si="85"/>
        <v>00</v>
      </c>
      <c r="CZ46" t="str">
        <f t="shared" si="86"/>
        <v>00</v>
      </c>
      <c r="DA46" t="str">
        <f t="shared" si="87"/>
        <v>00</v>
      </c>
      <c r="DB46" t="str">
        <f t="shared" si="88"/>
        <v>10</v>
      </c>
      <c r="DC46" t="str">
        <f t="shared" si="89"/>
        <v>0104020202020201010200000000000000000010</v>
      </c>
      <c r="DD46" t="str">
        <f t="shared" si="90"/>
        <v>Request lama sangat 2</v>
      </c>
      <c r="DE46" t="s">
        <v>153</v>
      </c>
      <c r="DF46" t="s">
        <v>223</v>
      </c>
      <c r="DG46" t="s">
        <v>224</v>
      </c>
      <c r="DH46" t="s">
        <v>225</v>
      </c>
      <c r="DI46" t="s">
        <v>226</v>
      </c>
      <c r="DJ46" t="s">
        <v>227</v>
      </c>
      <c r="DK46" t="s">
        <v>228</v>
      </c>
      <c r="DL46" t="str">
        <f t="shared" si="91"/>
        <v>034,00,00,00,01,04,02,02,02,02,02,01,01,02,00,00,00,00,00,00,00,00,00,10,0104020202020201010200000000000000000010,Request lama sangat 2,file34,Blk1,Blk2,Blk3,Blk4,Blk5,Blk6</v>
      </c>
    </row>
    <row r="47" spans="2:116" x14ac:dyDescent="0.25">
      <c r="B47">
        <f t="shared" si="92"/>
        <v>35</v>
      </c>
      <c r="L47" t="s">
        <v>48</v>
      </c>
      <c r="W47">
        <f t="shared" si="115"/>
        <v>0</v>
      </c>
      <c r="X47">
        <f t="shared" si="116"/>
        <v>0</v>
      </c>
      <c r="Y47">
        <f t="shared" si="117"/>
        <v>0</v>
      </c>
      <c r="Z47">
        <f t="shared" si="118"/>
        <v>0</v>
      </c>
      <c r="AA47">
        <f t="shared" si="119"/>
        <v>0</v>
      </c>
      <c r="AB47">
        <f t="shared" si="120"/>
        <v>0</v>
      </c>
      <c r="AC47">
        <f t="shared" si="121"/>
        <v>0</v>
      </c>
      <c r="AD47">
        <f t="shared" si="122"/>
        <v>0</v>
      </c>
      <c r="AE47">
        <f t="shared" si="123"/>
        <v>0</v>
      </c>
      <c r="AF47">
        <f t="shared" si="124"/>
        <v>1</v>
      </c>
      <c r="AG47">
        <f t="shared" si="125"/>
        <v>0</v>
      </c>
      <c r="AH47">
        <f t="shared" si="126"/>
        <v>0</v>
      </c>
      <c r="AI47">
        <f t="shared" si="127"/>
        <v>0</v>
      </c>
      <c r="AJ47">
        <f t="shared" si="128"/>
        <v>0</v>
      </c>
      <c r="AK47">
        <f t="shared" si="129"/>
        <v>0</v>
      </c>
      <c r="AL47">
        <f t="shared" si="130"/>
        <v>0</v>
      </c>
      <c r="AM47">
        <f t="shared" si="131"/>
        <v>0</v>
      </c>
      <c r="AN47">
        <f t="shared" si="132"/>
        <v>0</v>
      </c>
      <c r="AO47">
        <f t="shared" si="133"/>
        <v>0</v>
      </c>
      <c r="AP47" s="2" t="str">
        <f t="shared" si="46"/>
        <v/>
      </c>
      <c r="AQ47" t="str">
        <f t="shared" si="140"/>
        <v>S</v>
      </c>
      <c r="AR47" t="str">
        <f t="shared" si="141"/>
        <v>S</v>
      </c>
      <c r="AS47" t="str">
        <f t="shared" si="142"/>
        <v>S</v>
      </c>
      <c r="AT47" t="str">
        <f t="shared" si="143"/>
        <v>S</v>
      </c>
      <c r="AU47" t="str">
        <f t="shared" si="144"/>
        <v>S</v>
      </c>
      <c r="AV47" t="str">
        <f t="shared" si="145"/>
        <v>S</v>
      </c>
      <c r="AW47" t="str">
        <f t="shared" si="146"/>
        <v>S</v>
      </c>
      <c r="AX47" t="str">
        <f t="shared" si="147"/>
        <v>S</v>
      </c>
      <c r="AY47" t="str">
        <f t="shared" si="148"/>
        <v>S</v>
      </c>
      <c r="AZ47" t="str">
        <f t="shared" si="149"/>
        <v>+</v>
      </c>
      <c r="BA47" t="str">
        <f t="shared" si="150"/>
        <v/>
      </c>
      <c r="BB47" t="str">
        <f t="shared" si="151"/>
        <v/>
      </c>
      <c r="BC47" t="str">
        <f t="shared" si="152"/>
        <v/>
      </c>
      <c r="BD47" t="str">
        <f t="shared" si="153"/>
        <v/>
      </c>
      <c r="BE47" t="str">
        <f t="shared" si="154"/>
        <v/>
      </c>
      <c r="BF47" t="str">
        <f t="shared" si="155"/>
        <v/>
      </c>
      <c r="BG47" t="str">
        <f t="shared" si="156"/>
        <v/>
      </c>
      <c r="BH47" t="str">
        <f t="shared" si="157"/>
        <v/>
      </c>
      <c r="BI47" t="str">
        <f t="shared" si="158"/>
        <v/>
      </c>
      <c r="BK47">
        <f t="shared" si="48"/>
        <v>1</v>
      </c>
      <c r="BL47">
        <f t="shared" si="49"/>
        <v>4</v>
      </c>
      <c r="BM47">
        <f t="shared" si="50"/>
        <v>2</v>
      </c>
      <c r="BN47">
        <f t="shared" si="51"/>
        <v>2</v>
      </c>
      <c r="BO47">
        <f t="shared" si="52"/>
        <v>2</v>
      </c>
      <c r="BP47">
        <f t="shared" si="53"/>
        <v>2</v>
      </c>
      <c r="BQ47">
        <f t="shared" si="54"/>
        <v>2</v>
      </c>
      <c r="BR47">
        <f t="shared" si="55"/>
        <v>1</v>
      </c>
      <c r="BS47">
        <f t="shared" si="56"/>
        <v>1</v>
      </c>
      <c r="BT47">
        <f t="shared" si="57"/>
        <v>3</v>
      </c>
      <c r="BU47">
        <f t="shared" si="58"/>
        <v>0</v>
      </c>
      <c r="BV47">
        <f t="shared" si="59"/>
        <v>0</v>
      </c>
      <c r="BW47">
        <f t="shared" si="60"/>
        <v>0</v>
      </c>
      <c r="BX47">
        <f t="shared" si="61"/>
        <v>0</v>
      </c>
      <c r="BY47">
        <f t="shared" si="62"/>
        <v>0</v>
      </c>
      <c r="BZ47">
        <f t="shared" si="63"/>
        <v>0</v>
      </c>
      <c r="CA47">
        <f t="shared" si="64"/>
        <v>0</v>
      </c>
      <c r="CB47">
        <f t="shared" si="65"/>
        <v>0</v>
      </c>
      <c r="CC47">
        <f t="shared" si="66"/>
        <v>0</v>
      </c>
      <c r="CE47" t="str">
        <f t="shared" si="67"/>
        <v>035</v>
      </c>
      <c r="CF47" t="str">
        <f t="shared" si="159"/>
        <v>00</v>
      </c>
      <c r="CG47" t="str">
        <f t="shared" si="159"/>
        <v>00</v>
      </c>
      <c r="CH47" t="str">
        <f t="shared" si="159"/>
        <v>00</v>
      </c>
      <c r="CI47" t="str">
        <f t="shared" si="69"/>
        <v>01</v>
      </c>
      <c r="CJ47" t="str">
        <f t="shared" si="70"/>
        <v>04</v>
      </c>
      <c r="CK47" t="str">
        <f t="shared" si="71"/>
        <v>02</v>
      </c>
      <c r="CL47" t="str">
        <f t="shared" si="72"/>
        <v>02</v>
      </c>
      <c r="CM47" t="str">
        <f t="shared" si="73"/>
        <v>02</v>
      </c>
      <c r="CN47" t="str">
        <f t="shared" si="74"/>
        <v>02</v>
      </c>
      <c r="CO47" t="str">
        <f t="shared" si="75"/>
        <v>02</v>
      </c>
      <c r="CP47" t="str">
        <f t="shared" si="76"/>
        <v>01</v>
      </c>
      <c r="CQ47" t="str">
        <f t="shared" si="77"/>
        <v>01</v>
      </c>
      <c r="CR47" t="str">
        <f t="shared" si="78"/>
        <v>03</v>
      </c>
      <c r="CS47" t="str">
        <f t="shared" si="79"/>
        <v>00</v>
      </c>
      <c r="CT47" t="str">
        <f t="shared" si="80"/>
        <v>00</v>
      </c>
      <c r="CU47" t="str">
        <f t="shared" si="81"/>
        <v>00</v>
      </c>
      <c r="CV47" t="str">
        <f t="shared" si="82"/>
        <v>00</v>
      </c>
      <c r="CW47" t="str">
        <f t="shared" si="83"/>
        <v>00</v>
      </c>
      <c r="CX47" t="str">
        <f t="shared" si="84"/>
        <v>00</v>
      </c>
      <c r="CY47" t="str">
        <f t="shared" si="85"/>
        <v>00</v>
      </c>
      <c r="CZ47" t="str">
        <f t="shared" si="86"/>
        <v>00</v>
      </c>
      <c r="DA47" t="str">
        <f t="shared" si="87"/>
        <v>00</v>
      </c>
      <c r="DB47" t="str">
        <f t="shared" si="88"/>
        <v>10</v>
      </c>
      <c r="DC47" t="str">
        <f t="shared" si="89"/>
        <v>0104020202020201010300000000000000000010</v>
      </c>
      <c r="DD47" t="str">
        <f t="shared" si="90"/>
        <v>Request lama sangat 3</v>
      </c>
      <c r="DE47" t="s">
        <v>154</v>
      </c>
      <c r="DF47" t="s">
        <v>223</v>
      </c>
      <c r="DG47" t="s">
        <v>224</v>
      </c>
      <c r="DH47" t="s">
        <v>225</v>
      </c>
      <c r="DI47" t="s">
        <v>226</v>
      </c>
      <c r="DJ47" t="s">
        <v>227</v>
      </c>
      <c r="DK47" t="s">
        <v>228</v>
      </c>
      <c r="DL47" t="str">
        <f t="shared" si="91"/>
        <v>035,00,00,00,01,04,02,02,02,02,02,01,01,03,00,00,00,00,00,00,00,00,00,10,0104020202020201010300000000000000000010,Request lama sangat 3,file35,Blk1,Blk2,Blk3,Blk4,Blk5,Blk6</v>
      </c>
    </row>
    <row r="48" spans="2:116" x14ac:dyDescent="0.25">
      <c r="B48">
        <f t="shared" si="92"/>
        <v>36</v>
      </c>
      <c r="M48" t="s">
        <v>49</v>
      </c>
      <c r="W48">
        <f t="shared" si="115"/>
        <v>0</v>
      </c>
      <c r="X48">
        <f t="shared" si="116"/>
        <v>0</v>
      </c>
      <c r="Y48">
        <f t="shared" si="117"/>
        <v>0</v>
      </c>
      <c r="Z48">
        <f t="shared" si="118"/>
        <v>0</v>
      </c>
      <c r="AA48">
        <f t="shared" si="119"/>
        <v>0</v>
      </c>
      <c r="AB48">
        <f t="shared" si="120"/>
        <v>0</v>
      </c>
      <c r="AC48">
        <f t="shared" si="121"/>
        <v>0</v>
      </c>
      <c r="AD48">
        <f t="shared" si="122"/>
        <v>0</v>
      </c>
      <c r="AE48">
        <f t="shared" si="123"/>
        <v>0</v>
      </c>
      <c r="AF48">
        <f t="shared" si="124"/>
        <v>0</v>
      </c>
      <c r="AG48">
        <f t="shared" si="125"/>
        <v>1</v>
      </c>
      <c r="AH48">
        <f t="shared" si="126"/>
        <v>0</v>
      </c>
      <c r="AI48">
        <f t="shared" si="127"/>
        <v>0</v>
      </c>
      <c r="AJ48">
        <f t="shared" si="128"/>
        <v>0</v>
      </c>
      <c r="AK48">
        <f t="shared" si="129"/>
        <v>0</v>
      </c>
      <c r="AL48">
        <f t="shared" si="130"/>
        <v>0</v>
      </c>
      <c r="AM48">
        <f t="shared" si="131"/>
        <v>0</v>
      </c>
      <c r="AN48">
        <f t="shared" si="132"/>
        <v>0</v>
      </c>
      <c r="AO48">
        <f t="shared" si="133"/>
        <v>0</v>
      </c>
      <c r="AP48" s="2" t="str">
        <f t="shared" si="46"/>
        <v/>
      </c>
      <c r="AQ48" t="str">
        <f t="shared" si="140"/>
        <v>S</v>
      </c>
      <c r="AR48" t="str">
        <f t="shared" si="141"/>
        <v>S</v>
      </c>
      <c r="AS48" t="str">
        <f t="shared" si="142"/>
        <v>S</v>
      </c>
      <c r="AT48" t="str">
        <f t="shared" si="143"/>
        <v>S</v>
      </c>
      <c r="AU48" t="str">
        <f t="shared" si="144"/>
        <v>S</v>
      </c>
      <c r="AV48" t="str">
        <f t="shared" si="145"/>
        <v>S</v>
      </c>
      <c r="AW48" t="str">
        <f t="shared" si="146"/>
        <v>S</v>
      </c>
      <c r="AX48" t="str">
        <f t="shared" si="147"/>
        <v>S</v>
      </c>
      <c r="AY48" t="str">
        <f t="shared" si="148"/>
        <v>S</v>
      </c>
      <c r="AZ48" t="str">
        <f t="shared" si="149"/>
        <v>S</v>
      </c>
      <c r="BA48">
        <f t="shared" si="150"/>
        <v>1</v>
      </c>
      <c r="BB48" t="str">
        <f t="shared" si="151"/>
        <v/>
      </c>
      <c r="BC48" t="str">
        <f t="shared" si="152"/>
        <v/>
      </c>
      <c r="BD48" t="str">
        <f t="shared" si="153"/>
        <v/>
      </c>
      <c r="BE48" t="str">
        <f t="shared" si="154"/>
        <v/>
      </c>
      <c r="BF48" t="str">
        <f t="shared" si="155"/>
        <v/>
      </c>
      <c r="BG48" t="str">
        <f t="shared" si="156"/>
        <v/>
      </c>
      <c r="BH48" t="str">
        <f t="shared" si="157"/>
        <v/>
      </c>
      <c r="BI48" t="str">
        <f t="shared" si="158"/>
        <v/>
      </c>
      <c r="BK48">
        <f t="shared" si="48"/>
        <v>1</v>
      </c>
      <c r="BL48">
        <f t="shared" si="49"/>
        <v>4</v>
      </c>
      <c r="BM48">
        <f t="shared" si="50"/>
        <v>2</v>
      </c>
      <c r="BN48">
        <f t="shared" si="51"/>
        <v>2</v>
      </c>
      <c r="BO48">
        <f t="shared" si="52"/>
        <v>2</v>
      </c>
      <c r="BP48">
        <f t="shared" si="53"/>
        <v>2</v>
      </c>
      <c r="BQ48">
        <f t="shared" si="54"/>
        <v>2</v>
      </c>
      <c r="BR48">
        <f t="shared" si="55"/>
        <v>1</v>
      </c>
      <c r="BS48">
        <f t="shared" si="56"/>
        <v>1</v>
      </c>
      <c r="BT48">
        <f t="shared" si="57"/>
        <v>3</v>
      </c>
      <c r="BU48">
        <f t="shared" si="58"/>
        <v>1</v>
      </c>
      <c r="BV48">
        <f t="shared" si="59"/>
        <v>0</v>
      </c>
      <c r="BW48">
        <f t="shared" si="60"/>
        <v>0</v>
      </c>
      <c r="BX48">
        <f t="shared" si="61"/>
        <v>0</v>
      </c>
      <c r="BY48">
        <f t="shared" si="62"/>
        <v>0</v>
      </c>
      <c r="BZ48">
        <f t="shared" si="63"/>
        <v>0</v>
      </c>
      <c r="CA48">
        <f t="shared" si="64"/>
        <v>0</v>
      </c>
      <c r="CB48">
        <f t="shared" si="65"/>
        <v>0</v>
      </c>
      <c r="CC48">
        <f t="shared" si="66"/>
        <v>0</v>
      </c>
      <c r="CE48" t="str">
        <f t="shared" si="67"/>
        <v>036</v>
      </c>
      <c r="CF48" t="str">
        <f t="shared" si="159"/>
        <v>00</v>
      </c>
      <c r="CG48" t="str">
        <f t="shared" si="159"/>
        <v>00</v>
      </c>
      <c r="CH48" t="str">
        <f t="shared" si="159"/>
        <v>00</v>
      </c>
      <c r="CI48" t="str">
        <f t="shared" si="69"/>
        <v>01</v>
      </c>
      <c r="CJ48" t="str">
        <f t="shared" si="70"/>
        <v>04</v>
      </c>
      <c r="CK48" t="str">
        <f t="shared" si="71"/>
        <v>02</v>
      </c>
      <c r="CL48" t="str">
        <f t="shared" si="72"/>
        <v>02</v>
      </c>
      <c r="CM48" t="str">
        <f t="shared" si="73"/>
        <v>02</v>
      </c>
      <c r="CN48" t="str">
        <f t="shared" si="74"/>
        <v>02</v>
      </c>
      <c r="CO48" t="str">
        <f t="shared" si="75"/>
        <v>02</v>
      </c>
      <c r="CP48" t="str">
        <f t="shared" si="76"/>
        <v>01</v>
      </c>
      <c r="CQ48" t="str">
        <f t="shared" si="77"/>
        <v>01</v>
      </c>
      <c r="CR48" t="str">
        <f t="shared" si="78"/>
        <v>03</v>
      </c>
      <c r="CS48" t="str">
        <f t="shared" si="79"/>
        <v>01</v>
      </c>
      <c r="CT48" t="str">
        <f t="shared" si="80"/>
        <v>00</v>
      </c>
      <c r="CU48" t="str">
        <f t="shared" si="81"/>
        <v>00</v>
      </c>
      <c r="CV48" t="str">
        <f t="shared" si="82"/>
        <v>00</v>
      </c>
      <c r="CW48" t="str">
        <f t="shared" si="83"/>
        <v>00</v>
      </c>
      <c r="CX48" t="str">
        <f t="shared" si="84"/>
        <v>00</v>
      </c>
      <c r="CY48" t="str">
        <f t="shared" si="85"/>
        <v>00</v>
      </c>
      <c r="CZ48" t="str">
        <f t="shared" si="86"/>
        <v>00</v>
      </c>
      <c r="DA48" t="str">
        <f t="shared" si="87"/>
        <v>00</v>
      </c>
      <c r="DB48" t="str">
        <f t="shared" si="88"/>
        <v>11</v>
      </c>
      <c r="DC48" t="str">
        <f t="shared" si="89"/>
        <v>0104020202020201010301000000000000000011</v>
      </c>
      <c r="DD48" t="str">
        <f t="shared" si="90"/>
        <v>Request lam tapi batal</v>
      </c>
      <c r="DE48" t="s">
        <v>155</v>
      </c>
      <c r="DF48" t="s">
        <v>223</v>
      </c>
      <c r="DG48" t="s">
        <v>224</v>
      </c>
      <c r="DH48" t="s">
        <v>225</v>
      </c>
      <c r="DI48" t="s">
        <v>226</v>
      </c>
      <c r="DJ48" t="s">
        <v>227</v>
      </c>
      <c r="DK48" t="s">
        <v>228</v>
      </c>
      <c r="DL48" t="str">
        <f t="shared" si="91"/>
        <v>036,00,00,00,01,04,02,02,02,02,02,01,01,03,01,00,00,00,00,00,00,00,00,11,0104020202020201010301000000000000000011,Request lam tapi batal,file36,Blk1,Blk2,Blk3,Blk4,Blk5,Blk6</v>
      </c>
    </row>
    <row r="49" spans="2:116" x14ac:dyDescent="0.25">
      <c r="B49">
        <f t="shared" si="92"/>
        <v>37</v>
      </c>
      <c r="M49" t="s">
        <v>50</v>
      </c>
      <c r="W49">
        <f t="shared" si="115"/>
        <v>0</v>
      </c>
      <c r="X49">
        <f t="shared" si="116"/>
        <v>0</v>
      </c>
      <c r="Y49">
        <f t="shared" si="117"/>
        <v>0</v>
      </c>
      <c r="Z49">
        <f t="shared" si="118"/>
        <v>0</v>
      </c>
      <c r="AA49">
        <f t="shared" si="119"/>
        <v>0</v>
      </c>
      <c r="AB49">
        <f t="shared" si="120"/>
        <v>0</v>
      </c>
      <c r="AC49">
        <f t="shared" si="121"/>
        <v>0</v>
      </c>
      <c r="AD49">
        <f t="shared" si="122"/>
        <v>0</v>
      </c>
      <c r="AE49">
        <f t="shared" si="123"/>
        <v>0</v>
      </c>
      <c r="AF49">
        <f t="shared" si="124"/>
        <v>0</v>
      </c>
      <c r="AG49">
        <f t="shared" si="125"/>
        <v>1</v>
      </c>
      <c r="AH49">
        <f t="shared" si="126"/>
        <v>0</v>
      </c>
      <c r="AI49">
        <f t="shared" si="127"/>
        <v>0</v>
      </c>
      <c r="AJ49">
        <f t="shared" si="128"/>
        <v>0</v>
      </c>
      <c r="AK49">
        <f t="shared" si="129"/>
        <v>0</v>
      </c>
      <c r="AL49">
        <f t="shared" si="130"/>
        <v>0</v>
      </c>
      <c r="AM49">
        <f t="shared" si="131"/>
        <v>0</v>
      </c>
      <c r="AN49">
        <f t="shared" si="132"/>
        <v>0</v>
      </c>
      <c r="AO49">
        <f t="shared" si="133"/>
        <v>0</v>
      </c>
      <c r="AP49" s="2" t="str">
        <f t="shared" si="46"/>
        <v/>
      </c>
      <c r="AQ49" t="str">
        <f t="shared" si="140"/>
        <v>S</v>
      </c>
      <c r="AR49" t="str">
        <f t="shared" si="141"/>
        <v>S</v>
      </c>
      <c r="AS49" t="str">
        <f t="shared" si="142"/>
        <v>S</v>
      </c>
      <c r="AT49" t="str">
        <f t="shared" si="143"/>
        <v>S</v>
      </c>
      <c r="AU49" t="str">
        <f t="shared" si="144"/>
        <v>S</v>
      </c>
      <c r="AV49" t="str">
        <f t="shared" si="145"/>
        <v>S</v>
      </c>
      <c r="AW49" t="str">
        <f t="shared" si="146"/>
        <v>S</v>
      </c>
      <c r="AX49" t="str">
        <f t="shared" si="147"/>
        <v>S</v>
      </c>
      <c r="AY49" t="str">
        <f t="shared" si="148"/>
        <v>S</v>
      </c>
      <c r="AZ49" t="str">
        <f t="shared" si="149"/>
        <v>S</v>
      </c>
      <c r="BA49" t="str">
        <f t="shared" si="150"/>
        <v>+</v>
      </c>
      <c r="BB49" t="str">
        <f t="shared" si="151"/>
        <v/>
      </c>
      <c r="BC49" t="str">
        <f t="shared" si="152"/>
        <v/>
      </c>
      <c r="BD49" t="str">
        <f t="shared" si="153"/>
        <v/>
      </c>
      <c r="BE49" t="str">
        <f t="shared" si="154"/>
        <v/>
      </c>
      <c r="BF49" t="str">
        <f t="shared" si="155"/>
        <v/>
      </c>
      <c r="BG49" t="str">
        <f t="shared" si="156"/>
        <v/>
      </c>
      <c r="BH49" t="str">
        <f t="shared" si="157"/>
        <v/>
      </c>
      <c r="BI49" t="str">
        <f t="shared" si="158"/>
        <v/>
      </c>
      <c r="BK49">
        <f t="shared" si="48"/>
        <v>1</v>
      </c>
      <c r="BL49">
        <f t="shared" si="49"/>
        <v>4</v>
      </c>
      <c r="BM49">
        <f t="shared" si="50"/>
        <v>2</v>
      </c>
      <c r="BN49">
        <f t="shared" si="51"/>
        <v>2</v>
      </c>
      <c r="BO49">
        <f t="shared" si="52"/>
        <v>2</v>
      </c>
      <c r="BP49">
        <f t="shared" si="53"/>
        <v>2</v>
      </c>
      <c r="BQ49">
        <f t="shared" si="54"/>
        <v>2</v>
      </c>
      <c r="BR49">
        <f t="shared" si="55"/>
        <v>1</v>
      </c>
      <c r="BS49">
        <f t="shared" si="56"/>
        <v>1</v>
      </c>
      <c r="BT49">
        <f t="shared" si="57"/>
        <v>3</v>
      </c>
      <c r="BU49">
        <f t="shared" si="58"/>
        <v>2</v>
      </c>
      <c r="BV49">
        <f t="shared" si="59"/>
        <v>0</v>
      </c>
      <c r="BW49">
        <f t="shared" si="60"/>
        <v>0</v>
      </c>
      <c r="BX49">
        <f t="shared" si="61"/>
        <v>0</v>
      </c>
      <c r="BY49">
        <f t="shared" si="62"/>
        <v>0</v>
      </c>
      <c r="BZ49">
        <f t="shared" si="63"/>
        <v>0</v>
      </c>
      <c r="CA49">
        <f t="shared" si="64"/>
        <v>0</v>
      </c>
      <c r="CB49">
        <f t="shared" si="65"/>
        <v>0</v>
      </c>
      <c r="CC49">
        <f t="shared" si="66"/>
        <v>0</v>
      </c>
      <c r="CE49" t="str">
        <f t="shared" si="67"/>
        <v>037</v>
      </c>
      <c r="CF49" t="str">
        <f t="shared" si="159"/>
        <v>00</v>
      </c>
      <c r="CG49" t="str">
        <f t="shared" si="159"/>
        <v>00</v>
      </c>
      <c r="CH49" t="str">
        <f t="shared" si="159"/>
        <v>00</v>
      </c>
      <c r="CI49" t="str">
        <f t="shared" si="69"/>
        <v>01</v>
      </c>
      <c r="CJ49" t="str">
        <f t="shared" si="70"/>
        <v>04</v>
      </c>
      <c r="CK49" t="str">
        <f t="shared" si="71"/>
        <v>02</v>
      </c>
      <c r="CL49" t="str">
        <f t="shared" si="72"/>
        <v>02</v>
      </c>
      <c r="CM49" t="str">
        <f t="shared" si="73"/>
        <v>02</v>
      </c>
      <c r="CN49" t="str">
        <f t="shared" si="74"/>
        <v>02</v>
      </c>
      <c r="CO49" t="str">
        <f t="shared" si="75"/>
        <v>02</v>
      </c>
      <c r="CP49" t="str">
        <f t="shared" si="76"/>
        <v>01</v>
      </c>
      <c r="CQ49" t="str">
        <f t="shared" si="77"/>
        <v>01</v>
      </c>
      <c r="CR49" t="str">
        <f t="shared" si="78"/>
        <v>03</v>
      </c>
      <c r="CS49" t="str">
        <f t="shared" si="79"/>
        <v>02</v>
      </c>
      <c r="CT49" t="str">
        <f t="shared" si="80"/>
        <v>00</v>
      </c>
      <c r="CU49" t="str">
        <f t="shared" si="81"/>
        <v>00</v>
      </c>
      <c r="CV49" t="str">
        <f t="shared" si="82"/>
        <v>00</v>
      </c>
      <c r="CW49" t="str">
        <f t="shared" si="83"/>
        <v>00</v>
      </c>
      <c r="CX49" t="str">
        <f t="shared" si="84"/>
        <v>00</v>
      </c>
      <c r="CY49" t="str">
        <f t="shared" si="85"/>
        <v>00</v>
      </c>
      <c r="CZ49" t="str">
        <f t="shared" si="86"/>
        <v>00</v>
      </c>
      <c r="DA49" t="str">
        <f t="shared" si="87"/>
        <v>00</v>
      </c>
      <c r="DB49" t="str">
        <f t="shared" si="88"/>
        <v>11</v>
      </c>
      <c r="DC49" t="str">
        <f t="shared" si="89"/>
        <v>0104020202020201010302000000000000000011</v>
      </c>
      <c r="DD49" t="str">
        <f t="shared" si="90"/>
        <v>Request lam tapi batal 2</v>
      </c>
      <c r="DE49" t="s">
        <v>156</v>
      </c>
      <c r="DF49" t="s">
        <v>223</v>
      </c>
      <c r="DG49" t="s">
        <v>224</v>
      </c>
      <c r="DH49" t="s">
        <v>225</v>
      </c>
      <c r="DI49" t="s">
        <v>226</v>
      </c>
      <c r="DJ49" t="s">
        <v>227</v>
      </c>
      <c r="DK49" t="s">
        <v>228</v>
      </c>
      <c r="DL49" t="str">
        <f t="shared" si="91"/>
        <v>037,00,00,00,01,04,02,02,02,02,02,01,01,03,02,00,00,00,00,00,00,00,00,11,0104020202020201010302000000000000000011,Request lam tapi batal 2,file37,Blk1,Blk2,Blk3,Blk4,Blk5,Blk6</v>
      </c>
    </row>
    <row r="50" spans="2:116" x14ac:dyDescent="0.25">
      <c r="B50">
        <f t="shared" si="92"/>
        <v>38</v>
      </c>
      <c r="N50" t="s">
        <v>51</v>
      </c>
      <c r="W50">
        <f t="shared" si="115"/>
        <v>0</v>
      </c>
      <c r="X50">
        <f t="shared" si="116"/>
        <v>0</v>
      </c>
      <c r="Y50">
        <f t="shared" si="117"/>
        <v>0</v>
      </c>
      <c r="Z50">
        <f t="shared" si="118"/>
        <v>0</v>
      </c>
      <c r="AA50">
        <f t="shared" si="119"/>
        <v>0</v>
      </c>
      <c r="AB50">
        <f t="shared" si="120"/>
        <v>0</v>
      </c>
      <c r="AC50">
        <f t="shared" si="121"/>
        <v>0</v>
      </c>
      <c r="AD50">
        <f t="shared" si="122"/>
        <v>0</v>
      </c>
      <c r="AE50">
        <f t="shared" si="123"/>
        <v>0</v>
      </c>
      <c r="AF50">
        <f t="shared" si="124"/>
        <v>0</v>
      </c>
      <c r="AG50">
        <f t="shared" si="125"/>
        <v>0</v>
      </c>
      <c r="AH50">
        <f t="shared" si="126"/>
        <v>1</v>
      </c>
      <c r="AI50">
        <f t="shared" si="127"/>
        <v>0</v>
      </c>
      <c r="AJ50">
        <f t="shared" si="128"/>
        <v>0</v>
      </c>
      <c r="AK50">
        <f t="shared" si="129"/>
        <v>0</v>
      </c>
      <c r="AL50">
        <f t="shared" si="130"/>
        <v>0</v>
      </c>
      <c r="AM50">
        <f t="shared" si="131"/>
        <v>0</v>
      </c>
      <c r="AN50">
        <f t="shared" si="132"/>
        <v>0</v>
      </c>
      <c r="AO50">
        <f t="shared" si="133"/>
        <v>0</v>
      </c>
      <c r="AP50" s="2" t="str">
        <f t="shared" si="46"/>
        <v/>
      </c>
      <c r="AQ50" t="str">
        <f t="shared" si="140"/>
        <v>S</v>
      </c>
      <c r="AR50" t="str">
        <f t="shared" si="141"/>
        <v>S</v>
      </c>
      <c r="AS50" t="str">
        <f t="shared" si="142"/>
        <v>S</v>
      </c>
      <c r="AT50" t="str">
        <f t="shared" si="143"/>
        <v>S</v>
      </c>
      <c r="AU50" t="str">
        <f t="shared" si="144"/>
        <v>S</v>
      </c>
      <c r="AV50" t="str">
        <f t="shared" si="145"/>
        <v>S</v>
      </c>
      <c r="AW50" t="str">
        <f t="shared" si="146"/>
        <v>S</v>
      </c>
      <c r="AX50" t="str">
        <f t="shared" si="147"/>
        <v>S</v>
      </c>
      <c r="AY50" t="str">
        <f t="shared" si="148"/>
        <v>S</v>
      </c>
      <c r="AZ50" t="str">
        <f t="shared" si="149"/>
        <v>S</v>
      </c>
      <c r="BA50" t="str">
        <f t="shared" si="150"/>
        <v>S</v>
      </c>
      <c r="BB50">
        <f t="shared" si="151"/>
        <v>1</v>
      </c>
      <c r="BC50" t="str">
        <f t="shared" si="152"/>
        <v/>
      </c>
      <c r="BD50" t="str">
        <f t="shared" si="153"/>
        <v/>
      </c>
      <c r="BE50" t="str">
        <f t="shared" si="154"/>
        <v/>
      </c>
      <c r="BF50" t="str">
        <f t="shared" si="155"/>
        <v/>
      </c>
      <c r="BG50" t="str">
        <f t="shared" si="156"/>
        <v/>
      </c>
      <c r="BH50" t="str">
        <f t="shared" si="157"/>
        <v/>
      </c>
      <c r="BI50" t="str">
        <f t="shared" si="158"/>
        <v/>
      </c>
      <c r="BK50">
        <f t="shared" si="48"/>
        <v>1</v>
      </c>
      <c r="BL50">
        <f t="shared" si="49"/>
        <v>4</v>
      </c>
      <c r="BM50">
        <f t="shared" si="50"/>
        <v>2</v>
      </c>
      <c r="BN50">
        <f t="shared" si="51"/>
        <v>2</v>
      </c>
      <c r="BO50">
        <f t="shared" si="52"/>
        <v>2</v>
      </c>
      <c r="BP50">
        <f t="shared" si="53"/>
        <v>2</v>
      </c>
      <c r="BQ50">
        <f t="shared" si="54"/>
        <v>2</v>
      </c>
      <c r="BR50">
        <f t="shared" si="55"/>
        <v>1</v>
      </c>
      <c r="BS50">
        <f t="shared" si="56"/>
        <v>1</v>
      </c>
      <c r="BT50">
        <f t="shared" si="57"/>
        <v>3</v>
      </c>
      <c r="BU50">
        <f t="shared" si="58"/>
        <v>2</v>
      </c>
      <c r="BV50">
        <f t="shared" si="59"/>
        <v>1</v>
      </c>
      <c r="BW50">
        <f t="shared" si="60"/>
        <v>0</v>
      </c>
      <c r="BX50">
        <f t="shared" si="61"/>
        <v>0</v>
      </c>
      <c r="BY50">
        <f t="shared" si="62"/>
        <v>0</v>
      </c>
      <c r="BZ50">
        <f t="shared" si="63"/>
        <v>0</v>
      </c>
      <c r="CA50">
        <f t="shared" si="64"/>
        <v>0</v>
      </c>
      <c r="CB50">
        <f t="shared" si="65"/>
        <v>0</v>
      </c>
      <c r="CC50">
        <f t="shared" si="66"/>
        <v>0</v>
      </c>
      <c r="CE50" t="str">
        <f t="shared" si="67"/>
        <v>038</v>
      </c>
      <c r="CF50" t="str">
        <f t="shared" si="159"/>
        <v>00</v>
      </c>
      <c r="CG50" t="str">
        <f t="shared" si="159"/>
        <v>00</v>
      </c>
      <c r="CH50" t="str">
        <f t="shared" si="159"/>
        <v>00</v>
      </c>
      <c r="CI50" t="str">
        <f t="shared" si="69"/>
        <v>01</v>
      </c>
      <c r="CJ50" t="str">
        <f t="shared" si="70"/>
        <v>04</v>
      </c>
      <c r="CK50" t="str">
        <f t="shared" si="71"/>
        <v>02</v>
      </c>
      <c r="CL50" t="str">
        <f t="shared" si="72"/>
        <v>02</v>
      </c>
      <c r="CM50" t="str">
        <f t="shared" si="73"/>
        <v>02</v>
      </c>
      <c r="CN50" t="str">
        <f t="shared" si="74"/>
        <v>02</v>
      </c>
      <c r="CO50" t="str">
        <f t="shared" si="75"/>
        <v>02</v>
      </c>
      <c r="CP50" t="str">
        <f t="shared" si="76"/>
        <v>01</v>
      </c>
      <c r="CQ50" t="str">
        <f t="shared" si="77"/>
        <v>01</v>
      </c>
      <c r="CR50" t="str">
        <f t="shared" si="78"/>
        <v>03</v>
      </c>
      <c r="CS50" t="str">
        <f t="shared" si="79"/>
        <v>02</v>
      </c>
      <c r="CT50" t="str">
        <f t="shared" si="80"/>
        <v>01</v>
      </c>
      <c r="CU50" t="str">
        <f t="shared" si="81"/>
        <v>00</v>
      </c>
      <c r="CV50" t="str">
        <f t="shared" si="82"/>
        <v>00</v>
      </c>
      <c r="CW50" t="str">
        <f t="shared" si="83"/>
        <v>00</v>
      </c>
      <c r="CX50" t="str">
        <f t="shared" si="84"/>
        <v>00</v>
      </c>
      <c r="CY50" t="str">
        <f t="shared" si="85"/>
        <v>00</v>
      </c>
      <c r="CZ50" t="str">
        <f t="shared" si="86"/>
        <v>00</v>
      </c>
      <c r="DA50" t="str">
        <f t="shared" si="87"/>
        <v>00</v>
      </c>
      <c r="DB50" t="str">
        <f t="shared" si="88"/>
        <v>12</v>
      </c>
      <c r="DC50" t="str">
        <f t="shared" si="89"/>
        <v>0104020202020201010302010000000000000012</v>
      </c>
      <c r="DD50" t="str">
        <f t="shared" si="90"/>
        <v>Request batal A</v>
      </c>
      <c r="DE50" t="s">
        <v>157</v>
      </c>
      <c r="DF50" t="s">
        <v>223</v>
      </c>
      <c r="DG50" t="s">
        <v>224</v>
      </c>
      <c r="DH50" t="s">
        <v>225</v>
      </c>
      <c r="DI50" t="s">
        <v>226</v>
      </c>
      <c r="DJ50" t="s">
        <v>227</v>
      </c>
      <c r="DK50" t="s">
        <v>228</v>
      </c>
      <c r="DL50" t="str">
        <f t="shared" si="91"/>
        <v>038,00,00,00,01,04,02,02,02,02,02,01,01,03,02,01,00,00,00,00,00,00,00,12,0104020202020201010302010000000000000012,Request batal A,file38,Blk1,Blk2,Blk3,Blk4,Blk5,Blk6</v>
      </c>
    </row>
    <row r="51" spans="2:116" x14ac:dyDescent="0.25">
      <c r="B51">
        <f t="shared" si="92"/>
        <v>39</v>
      </c>
      <c r="N51" t="s">
        <v>52</v>
      </c>
      <c r="W51">
        <f t="shared" si="115"/>
        <v>0</v>
      </c>
      <c r="X51">
        <f t="shared" si="116"/>
        <v>0</v>
      </c>
      <c r="Y51">
        <f t="shared" si="117"/>
        <v>0</v>
      </c>
      <c r="Z51">
        <f t="shared" si="118"/>
        <v>0</v>
      </c>
      <c r="AA51">
        <f t="shared" si="119"/>
        <v>0</v>
      </c>
      <c r="AB51">
        <f t="shared" si="120"/>
        <v>0</v>
      </c>
      <c r="AC51">
        <f t="shared" si="121"/>
        <v>0</v>
      </c>
      <c r="AD51">
        <f t="shared" si="122"/>
        <v>0</v>
      </c>
      <c r="AE51">
        <f t="shared" si="123"/>
        <v>0</v>
      </c>
      <c r="AF51">
        <f t="shared" si="124"/>
        <v>0</v>
      </c>
      <c r="AG51">
        <f t="shared" si="125"/>
        <v>0</v>
      </c>
      <c r="AH51">
        <f t="shared" si="126"/>
        <v>1</v>
      </c>
      <c r="AI51">
        <f t="shared" si="127"/>
        <v>0</v>
      </c>
      <c r="AJ51">
        <f t="shared" si="128"/>
        <v>0</v>
      </c>
      <c r="AK51">
        <f t="shared" si="129"/>
        <v>0</v>
      </c>
      <c r="AL51">
        <f t="shared" si="130"/>
        <v>0</v>
      </c>
      <c r="AM51">
        <f t="shared" si="131"/>
        <v>0</v>
      </c>
      <c r="AN51">
        <f t="shared" si="132"/>
        <v>0</v>
      </c>
      <c r="AO51">
        <f t="shared" si="133"/>
        <v>0</v>
      </c>
      <c r="AP51" s="2" t="str">
        <f t="shared" si="46"/>
        <v/>
      </c>
      <c r="AQ51" t="str">
        <f t="shared" si="140"/>
        <v>S</v>
      </c>
      <c r="AR51" t="str">
        <f t="shared" si="141"/>
        <v>S</v>
      </c>
      <c r="AS51" t="str">
        <f t="shared" si="142"/>
        <v>S</v>
      </c>
      <c r="AT51" t="str">
        <f t="shared" si="143"/>
        <v>S</v>
      </c>
      <c r="AU51" t="str">
        <f t="shared" si="144"/>
        <v>S</v>
      </c>
      <c r="AV51" t="str">
        <f t="shared" si="145"/>
        <v>S</v>
      </c>
      <c r="AW51" t="str">
        <f t="shared" si="146"/>
        <v>S</v>
      </c>
      <c r="AX51" t="str">
        <f t="shared" si="147"/>
        <v>S</v>
      </c>
      <c r="AY51" t="str">
        <f t="shared" si="148"/>
        <v>S</v>
      </c>
      <c r="AZ51" t="str">
        <f t="shared" si="149"/>
        <v>S</v>
      </c>
      <c r="BA51" t="str">
        <f t="shared" si="150"/>
        <v>S</v>
      </c>
      <c r="BB51" t="str">
        <f t="shared" si="151"/>
        <v>+</v>
      </c>
      <c r="BC51" t="str">
        <f t="shared" si="152"/>
        <v/>
      </c>
      <c r="BD51" t="str">
        <f t="shared" si="153"/>
        <v/>
      </c>
      <c r="BE51" t="str">
        <f t="shared" si="154"/>
        <v/>
      </c>
      <c r="BF51" t="str">
        <f t="shared" si="155"/>
        <v/>
      </c>
      <c r="BG51" t="str">
        <f t="shared" si="156"/>
        <v/>
      </c>
      <c r="BH51" t="str">
        <f t="shared" si="157"/>
        <v/>
      </c>
      <c r="BI51" t="str">
        <f t="shared" si="158"/>
        <v/>
      </c>
      <c r="BK51">
        <f t="shared" si="48"/>
        <v>1</v>
      </c>
      <c r="BL51">
        <f t="shared" si="49"/>
        <v>4</v>
      </c>
      <c r="BM51">
        <f t="shared" si="50"/>
        <v>2</v>
      </c>
      <c r="BN51">
        <f t="shared" si="51"/>
        <v>2</v>
      </c>
      <c r="BO51">
        <f t="shared" si="52"/>
        <v>2</v>
      </c>
      <c r="BP51">
        <f t="shared" si="53"/>
        <v>2</v>
      </c>
      <c r="BQ51">
        <f t="shared" si="54"/>
        <v>2</v>
      </c>
      <c r="BR51">
        <f t="shared" si="55"/>
        <v>1</v>
      </c>
      <c r="BS51">
        <f t="shared" si="56"/>
        <v>1</v>
      </c>
      <c r="BT51">
        <f t="shared" si="57"/>
        <v>3</v>
      </c>
      <c r="BU51">
        <f t="shared" si="58"/>
        <v>2</v>
      </c>
      <c r="BV51">
        <f t="shared" si="59"/>
        <v>2</v>
      </c>
      <c r="BW51">
        <f t="shared" si="60"/>
        <v>0</v>
      </c>
      <c r="BX51">
        <f t="shared" si="61"/>
        <v>0</v>
      </c>
      <c r="BY51">
        <f t="shared" si="62"/>
        <v>0</v>
      </c>
      <c r="BZ51">
        <f t="shared" si="63"/>
        <v>0</v>
      </c>
      <c r="CA51">
        <f t="shared" si="64"/>
        <v>0</v>
      </c>
      <c r="CB51">
        <f t="shared" si="65"/>
        <v>0</v>
      </c>
      <c r="CC51">
        <f t="shared" si="66"/>
        <v>0</v>
      </c>
      <c r="CE51" t="str">
        <f t="shared" si="67"/>
        <v>039</v>
      </c>
      <c r="CF51" t="str">
        <f t="shared" si="159"/>
        <v>00</v>
      </c>
      <c r="CG51" t="str">
        <f t="shared" si="159"/>
        <v>00</v>
      </c>
      <c r="CH51" t="str">
        <f t="shared" si="159"/>
        <v>00</v>
      </c>
      <c r="CI51" t="str">
        <f t="shared" si="69"/>
        <v>01</v>
      </c>
      <c r="CJ51" t="str">
        <f t="shared" si="70"/>
        <v>04</v>
      </c>
      <c r="CK51" t="str">
        <f t="shared" si="71"/>
        <v>02</v>
      </c>
      <c r="CL51" t="str">
        <f t="shared" si="72"/>
        <v>02</v>
      </c>
      <c r="CM51" t="str">
        <f t="shared" si="73"/>
        <v>02</v>
      </c>
      <c r="CN51" t="str">
        <f t="shared" si="74"/>
        <v>02</v>
      </c>
      <c r="CO51" t="str">
        <f t="shared" si="75"/>
        <v>02</v>
      </c>
      <c r="CP51" t="str">
        <f t="shared" si="76"/>
        <v>01</v>
      </c>
      <c r="CQ51" t="str">
        <f t="shared" si="77"/>
        <v>01</v>
      </c>
      <c r="CR51" t="str">
        <f t="shared" si="78"/>
        <v>03</v>
      </c>
      <c r="CS51" t="str">
        <f t="shared" si="79"/>
        <v>02</v>
      </c>
      <c r="CT51" t="str">
        <f t="shared" si="80"/>
        <v>02</v>
      </c>
      <c r="CU51" t="str">
        <f t="shared" si="81"/>
        <v>00</v>
      </c>
      <c r="CV51" t="str">
        <f t="shared" si="82"/>
        <v>00</v>
      </c>
      <c r="CW51" t="str">
        <f t="shared" si="83"/>
        <v>00</v>
      </c>
      <c r="CX51" t="str">
        <f t="shared" si="84"/>
        <v>00</v>
      </c>
      <c r="CY51" t="str">
        <f t="shared" si="85"/>
        <v>00</v>
      </c>
      <c r="CZ51" t="str">
        <f t="shared" si="86"/>
        <v>00</v>
      </c>
      <c r="DA51" t="str">
        <f t="shared" si="87"/>
        <v>00</v>
      </c>
      <c r="DB51" t="str">
        <f t="shared" si="88"/>
        <v>12</v>
      </c>
      <c r="DC51" t="str">
        <f t="shared" si="89"/>
        <v>0104020202020201010302020000000000000012</v>
      </c>
      <c r="DD51" t="str">
        <f t="shared" si="90"/>
        <v>Request batal B</v>
      </c>
      <c r="DE51" t="s">
        <v>158</v>
      </c>
      <c r="DF51" t="s">
        <v>223</v>
      </c>
      <c r="DG51" t="s">
        <v>224</v>
      </c>
      <c r="DH51" t="s">
        <v>225</v>
      </c>
      <c r="DI51" t="s">
        <v>226</v>
      </c>
      <c r="DJ51" t="s">
        <v>227</v>
      </c>
      <c r="DK51" t="s">
        <v>228</v>
      </c>
      <c r="DL51" t="str">
        <f t="shared" si="91"/>
        <v>039,00,00,00,01,04,02,02,02,02,02,01,01,03,02,02,00,00,00,00,00,00,00,12,0104020202020201010302020000000000000012,Request batal B,file39,Blk1,Blk2,Blk3,Blk4,Blk5,Blk6</v>
      </c>
    </row>
    <row r="52" spans="2:116" x14ac:dyDescent="0.25">
      <c r="B52">
        <f t="shared" si="92"/>
        <v>40</v>
      </c>
      <c r="N52" t="s">
        <v>53</v>
      </c>
      <c r="W52">
        <f t="shared" si="115"/>
        <v>0</v>
      </c>
      <c r="X52">
        <f t="shared" si="116"/>
        <v>0</v>
      </c>
      <c r="Y52">
        <f t="shared" si="117"/>
        <v>0</v>
      </c>
      <c r="Z52">
        <f t="shared" si="118"/>
        <v>0</v>
      </c>
      <c r="AA52">
        <f t="shared" si="119"/>
        <v>0</v>
      </c>
      <c r="AB52">
        <f t="shared" si="120"/>
        <v>0</v>
      </c>
      <c r="AC52">
        <f t="shared" si="121"/>
        <v>0</v>
      </c>
      <c r="AD52">
        <f t="shared" si="122"/>
        <v>0</v>
      </c>
      <c r="AE52">
        <f t="shared" si="123"/>
        <v>0</v>
      </c>
      <c r="AF52">
        <f t="shared" si="124"/>
        <v>0</v>
      </c>
      <c r="AG52">
        <f t="shared" si="125"/>
        <v>0</v>
      </c>
      <c r="AH52">
        <f t="shared" si="126"/>
        <v>1</v>
      </c>
      <c r="AI52">
        <f t="shared" si="127"/>
        <v>0</v>
      </c>
      <c r="AJ52">
        <f t="shared" si="128"/>
        <v>0</v>
      </c>
      <c r="AK52">
        <f t="shared" si="129"/>
        <v>0</v>
      </c>
      <c r="AL52">
        <f t="shared" si="130"/>
        <v>0</v>
      </c>
      <c r="AM52">
        <f t="shared" si="131"/>
        <v>0</v>
      </c>
      <c r="AN52">
        <f t="shared" si="132"/>
        <v>0</v>
      </c>
      <c r="AO52">
        <f t="shared" si="133"/>
        <v>0</v>
      </c>
      <c r="AP52" s="2" t="str">
        <f t="shared" si="46"/>
        <v/>
      </c>
      <c r="AQ52" t="str">
        <f t="shared" si="140"/>
        <v>S</v>
      </c>
      <c r="AR52" t="str">
        <f t="shared" si="141"/>
        <v>S</v>
      </c>
      <c r="AS52" t="str">
        <f t="shared" si="142"/>
        <v>S</v>
      </c>
      <c r="AT52" t="str">
        <f t="shared" si="143"/>
        <v>S</v>
      </c>
      <c r="AU52" t="str">
        <f t="shared" si="144"/>
        <v>S</v>
      </c>
      <c r="AV52" t="str">
        <f t="shared" si="145"/>
        <v>S</v>
      </c>
      <c r="AW52" t="str">
        <f t="shared" si="146"/>
        <v>S</v>
      </c>
      <c r="AX52" t="str">
        <f t="shared" si="147"/>
        <v>S</v>
      </c>
      <c r="AY52" t="str">
        <f t="shared" si="148"/>
        <v>S</v>
      </c>
      <c r="AZ52" t="str">
        <f t="shared" si="149"/>
        <v>S</v>
      </c>
      <c r="BA52" t="str">
        <f t="shared" si="150"/>
        <v>S</v>
      </c>
      <c r="BB52" t="str">
        <f t="shared" si="151"/>
        <v>+</v>
      </c>
      <c r="BC52" t="str">
        <f t="shared" si="152"/>
        <v/>
      </c>
      <c r="BD52" t="str">
        <f t="shared" si="153"/>
        <v/>
      </c>
      <c r="BE52" t="str">
        <f t="shared" si="154"/>
        <v/>
      </c>
      <c r="BF52" t="str">
        <f t="shared" si="155"/>
        <v/>
      </c>
      <c r="BG52" t="str">
        <f t="shared" si="156"/>
        <v/>
      </c>
      <c r="BH52" t="str">
        <f t="shared" si="157"/>
        <v/>
      </c>
      <c r="BI52" t="str">
        <f t="shared" si="158"/>
        <v/>
      </c>
      <c r="BK52">
        <f t="shared" si="48"/>
        <v>1</v>
      </c>
      <c r="BL52">
        <f t="shared" si="49"/>
        <v>4</v>
      </c>
      <c r="BM52">
        <f t="shared" si="50"/>
        <v>2</v>
      </c>
      <c r="BN52">
        <f t="shared" si="51"/>
        <v>2</v>
      </c>
      <c r="BO52">
        <f t="shared" si="52"/>
        <v>2</v>
      </c>
      <c r="BP52">
        <f t="shared" si="53"/>
        <v>2</v>
      </c>
      <c r="BQ52">
        <f t="shared" si="54"/>
        <v>2</v>
      </c>
      <c r="BR52">
        <f t="shared" si="55"/>
        <v>1</v>
      </c>
      <c r="BS52">
        <f t="shared" si="56"/>
        <v>1</v>
      </c>
      <c r="BT52">
        <f t="shared" si="57"/>
        <v>3</v>
      </c>
      <c r="BU52">
        <f t="shared" si="58"/>
        <v>2</v>
      </c>
      <c r="BV52">
        <f t="shared" si="59"/>
        <v>3</v>
      </c>
      <c r="BW52">
        <f t="shared" si="60"/>
        <v>0</v>
      </c>
      <c r="BX52">
        <f t="shared" si="61"/>
        <v>0</v>
      </c>
      <c r="BY52">
        <f t="shared" si="62"/>
        <v>0</v>
      </c>
      <c r="BZ52">
        <f t="shared" si="63"/>
        <v>0</v>
      </c>
      <c r="CA52">
        <f t="shared" si="64"/>
        <v>0</v>
      </c>
      <c r="CB52">
        <f t="shared" si="65"/>
        <v>0</v>
      </c>
      <c r="CC52">
        <f t="shared" si="66"/>
        <v>0</v>
      </c>
      <c r="CE52" t="str">
        <f t="shared" si="67"/>
        <v>040</v>
      </c>
      <c r="CF52" t="str">
        <f t="shared" si="159"/>
        <v>00</v>
      </c>
      <c r="CG52" t="str">
        <f t="shared" si="159"/>
        <v>00</v>
      </c>
      <c r="CH52" t="str">
        <f t="shared" si="159"/>
        <v>00</v>
      </c>
      <c r="CI52" t="str">
        <f t="shared" si="69"/>
        <v>01</v>
      </c>
      <c r="CJ52" t="str">
        <f t="shared" si="70"/>
        <v>04</v>
      </c>
      <c r="CK52" t="str">
        <f t="shared" si="71"/>
        <v>02</v>
      </c>
      <c r="CL52" t="str">
        <f t="shared" si="72"/>
        <v>02</v>
      </c>
      <c r="CM52" t="str">
        <f t="shared" si="73"/>
        <v>02</v>
      </c>
      <c r="CN52" t="str">
        <f t="shared" si="74"/>
        <v>02</v>
      </c>
      <c r="CO52" t="str">
        <f t="shared" si="75"/>
        <v>02</v>
      </c>
      <c r="CP52" t="str">
        <f t="shared" si="76"/>
        <v>01</v>
      </c>
      <c r="CQ52" t="str">
        <f t="shared" si="77"/>
        <v>01</v>
      </c>
      <c r="CR52" t="str">
        <f t="shared" si="78"/>
        <v>03</v>
      </c>
      <c r="CS52" t="str">
        <f t="shared" si="79"/>
        <v>02</v>
      </c>
      <c r="CT52" t="str">
        <f t="shared" si="80"/>
        <v>03</v>
      </c>
      <c r="CU52" t="str">
        <f t="shared" si="81"/>
        <v>00</v>
      </c>
      <c r="CV52" t="str">
        <f t="shared" si="82"/>
        <v>00</v>
      </c>
      <c r="CW52" t="str">
        <f t="shared" si="83"/>
        <v>00</v>
      </c>
      <c r="CX52" t="str">
        <f t="shared" si="84"/>
        <v>00</v>
      </c>
      <c r="CY52" t="str">
        <f t="shared" si="85"/>
        <v>00</v>
      </c>
      <c r="CZ52" t="str">
        <f t="shared" si="86"/>
        <v>00</v>
      </c>
      <c r="DA52" t="str">
        <f t="shared" si="87"/>
        <v>00</v>
      </c>
      <c r="DB52" t="str">
        <f t="shared" si="88"/>
        <v>12</v>
      </c>
      <c r="DC52" t="str">
        <f t="shared" si="89"/>
        <v>0104020202020201010302030000000000000012</v>
      </c>
      <c r="DD52" t="str">
        <f t="shared" si="90"/>
        <v>Request batal C</v>
      </c>
      <c r="DE52" t="s">
        <v>159</v>
      </c>
      <c r="DF52" t="s">
        <v>223</v>
      </c>
      <c r="DG52" t="s">
        <v>224</v>
      </c>
      <c r="DH52" t="s">
        <v>225</v>
      </c>
      <c r="DI52" t="s">
        <v>226</v>
      </c>
      <c r="DJ52" t="s">
        <v>227</v>
      </c>
      <c r="DK52" t="s">
        <v>228</v>
      </c>
      <c r="DL52" t="str">
        <f t="shared" si="91"/>
        <v>040,00,00,00,01,04,02,02,02,02,02,01,01,03,02,03,00,00,00,00,00,00,00,12,0104020202020201010302030000000000000012,Request batal C,file40,Blk1,Blk2,Blk3,Blk4,Blk5,Blk6</v>
      </c>
    </row>
    <row r="53" spans="2:116" x14ac:dyDescent="0.25">
      <c r="B53">
        <f t="shared" si="92"/>
        <v>41</v>
      </c>
      <c r="M53" t="s">
        <v>54</v>
      </c>
      <c r="W53">
        <f t="shared" si="115"/>
        <v>0</v>
      </c>
      <c r="X53">
        <f t="shared" si="116"/>
        <v>0</v>
      </c>
      <c r="Y53">
        <f t="shared" si="117"/>
        <v>0</v>
      </c>
      <c r="Z53">
        <f t="shared" si="118"/>
        <v>0</v>
      </c>
      <c r="AA53">
        <f t="shared" si="119"/>
        <v>0</v>
      </c>
      <c r="AB53">
        <f t="shared" si="120"/>
        <v>0</v>
      </c>
      <c r="AC53">
        <f t="shared" si="121"/>
        <v>0</v>
      </c>
      <c r="AD53">
        <f t="shared" si="122"/>
        <v>0</v>
      </c>
      <c r="AE53">
        <f t="shared" si="123"/>
        <v>0</v>
      </c>
      <c r="AF53">
        <f t="shared" si="124"/>
        <v>0</v>
      </c>
      <c r="AG53">
        <f t="shared" si="125"/>
        <v>1</v>
      </c>
      <c r="AH53">
        <f t="shared" si="126"/>
        <v>0</v>
      </c>
      <c r="AI53">
        <f t="shared" si="127"/>
        <v>0</v>
      </c>
      <c r="AJ53">
        <f t="shared" si="128"/>
        <v>0</v>
      </c>
      <c r="AK53">
        <f t="shared" si="129"/>
        <v>0</v>
      </c>
      <c r="AL53">
        <f t="shared" si="130"/>
        <v>0</v>
      </c>
      <c r="AM53">
        <f t="shared" si="131"/>
        <v>0</v>
      </c>
      <c r="AN53">
        <f t="shared" si="132"/>
        <v>0</v>
      </c>
      <c r="AO53">
        <f t="shared" si="133"/>
        <v>0</v>
      </c>
      <c r="AP53" s="2" t="str">
        <f t="shared" si="46"/>
        <v/>
      </c>
      <c r="AQ53" t="str">
        <f t="shared" si="140"/>
        <v>S</v>
      </c>
      <c r="AR53" t="str">
        <f t="shared" si="141"/>
        <v>S</v>
      </c>
      <c r="AS53" t="str">
        <f t="shared" si="142"/>
        <v>S</v>
      </c>
      <c r="AT53" t="str">
        <f t="shared" si="143"/>
        <v>S</v>
      </c>
      <c r="AU53" t="str">
        <f t="shared" si="144"/>
        <v>S</v>
      </c>
      <c r="AV53" t="str">
        <f t="shared" si="145"/>
        <v>S</v>
      </c>
      <c r="AW53" t="str">
        <f t="shared" si="146"/>
        <v>S</v>
      </c>
      <c r="AX53" t="str">
        <f t="shared" si="147"/>
        <v>S</v>
      </c>
      <c r="AY53" t="str">
        <f t="shared" si="148"/>
        <v>S</v>
      </c>
      <c r="AZ53" t="str">
        <f t="shared" si="149"/>
        <v>S</v>
      </c>
      <c r="BA53" t="str">
        <f t="shared" si="150"/>
        <v>+</v>
      </c>
      <c r="BB53" t="str">
        <f t="shared" si="151"/>
        <v/>
      </c>
      <c r="BC53" t="str">
        <f t="shared" si="152"/>
        <v/>
      </c>
      <c r="BD53" t="str">
        <f t="shared" si="153"/>
        <v/>
      </c>
      <c r="BE53" t="str">
        <f t="shared" si="154"/>
        <v/>
      </c>
      <c r="BF53" t="str">
        <f t="shared" si="155"/>
        <v/>
      </c>
      <c r="BG53" t="str">
        <f t="shared" si="156"/>
        <v/>
      </c>
      <c r="BH53" t="str">
        <f t="shared" si="157"/>
        <v/>
      </c>
      <c r="BI53" t="str">
        <f t="shared" si="158"/>
        <v/>
      </c>
      <c r="BK53">
        <f t="shared" si="48"/>
        <v>1</v>
      </c>
      <c r="BL53">
        <f t="shared" si="49"/>
        <v>4</v>
      </c>
      <c r="BM53">
        <f t="shared" si="50"/>
        <v>2</v>
      </c>
      <c r="BN53">
        <f t="shared" si="51"/>
        <v>2</v>
      </c>
      <c r="BO53">
        <f t="shared" si="52"/>
        <v>2</v>
      </c>
      <c r="BP53">
        <f t="shared" si="53"/>
        <v>2</v>
      </c>
      <c r="BQ53">
        <f t="shared" si="54"/>
        <v>2</v>
      </c>
      <c r="BR53">
        <f t="shared" si="55"/>
        <v>1</v>
      </c>
      <c r="BS53">
        <f t="shared" si="56"/>
        <v>1</v>
      </c>
      <c r="BT53">
        <f t="shared" si="57"/>
        <v>3</v>
      </c>
      <c r="BU53">
        <f t="shared" si="58"/>
        <v>3</v>
      </c>
      <c r="BV53">
        <f t="shared" si="59"/>
        <v>0</v>
      </c>
      <c r="BW53">
        <f t="shared" si="60"/>
        <v>0</v>
      </c>
      <c r="BX53">
        <f t="shared" si="61"/>
        <v>0</v>
      </c>
      <c r="BY53">
        <f t="shared" si="62"/>
        <v>0</v>
      </c>
      <c r="BZ53">
        <f t="shared" si="63"/>
        <v>0</v>
      </c>
      <c r="CA53">
        <f t="shared" si="64"/>
        <v>0</v>
      </c>
      <c r="CB53">
        <f t="shared" si="65"/>
        <v>0</v>
      </c>
      <c r="CC53">
        <f t="shared" si="66"/>
        <v>0</v>
      </c>
      <c r="CE53" t="str">
        <f t="shared" si="67"/>
        <v>041</v>
      </c>
      <c r="CF53" t="str">
        <f t="shared" si="159"/>
        <v>00</v>
      </c>
      <c r="CG53" t="str">
        <f t="shared" si="159"/>
        <v>00</v>
      </c>
      <c r="CH53" t="str">
        <f t="shared" si="159"/>
        <v>00</v>
      </c>
      <c r="CI53" t="str">
        <f t="shared" si="69"/>
        <v>01</v>
      </c>
      <c r="CJ53" t="str">
        <f t="shared" si="70"/>
        <v>04</v>
      </c>
      <c r="CK53" t="str">
        <f t="shared" si="71"/>
        <v>02</v>
      </c>
      <c r="CL53" t="str">
        <f t="shared" si="72"/>
        <v>02</v>
      </c>
      <c r="CM53" t="str">
        <f t="shared" si="73"/>
        <v>02</v>
      </c>
      <c r="CN53" t="str">
        <f t="shared" si="74"/>
        <v>02</v>
      </c>
      <c r="CO53" t="str">
        <f t="shared" si="75"/>
        <v>02</v>
      </c>
      <c r="CP53" t="str">
        <f t="shared" si="76"/>
        <v>01</v>
      </c>
      <c r="CQ53" t="str">
        <f t="shared" si="77"/>
        <v>01</v>
      </c>
      <c r="CR53" t="str">
        <f t="shared" si="78"/>
        <v>03</v>
      </c>
      <c r="CS53" t="str">
        <f t="shared" si="79"/>
        <v>03</v>
      </c>
      <c r="CT53" t="str">
        <f t="shared" si="80"/>
        <v>00</v>
      </c>
      <c r="CU53" t="str">
        <f t="shared" si="81"/>
        <v>00</v>
      </c>
      <c r="CV53" t="str">
        <f t="shared" si="82"/>
        <v>00</v>
      </c>
      <c r="CW53" t="str">
        <f t="shared" si="83"/>
        <v>00</v>
      </c>
      <c r="CX53" t="str">
        <f t="shared" si="84"/>
        <v>00</v>
      </c>
      <c r="CY53" t="str">
        <f t="shared" si="85"/>
        <v>00</v>
      </c>
      <c r="CZ53" t="str">
        <f t="shared" si="86"/>
        <v>00</v>
      </c>
      <c r="DA53" t="str">
        <f t="shared" si="87"/>
        <v>00</v>
      </c>
      <c r="DB53" t="str">
        <f t="shared" si="88"/>
        <v>11</v>
      </c>
      <c r="DC53" t="str">
        <f t="shared" si="89"/>
        <v>0104020202020201010303000000000000000011</v>
      </c>
      <c r="DD53" t="str">
        <f t="shared" si="90"/>
        <v>Request lam tapi batal 3</v>
      </c>
      <c r="DE53" t="s">
        <v>160</v>
      </c>
      <c r="DF53" t="s">
        <v>223</v>
      </c>
      <c r="DG53" t="s">
        <v>224</v>
      </c>
      <c r="DH53" t="s">
        <v>225</v>
      </c>
      <c r="DI53" t="s">
        <v>226</v>
      </c>
      <c r="DJ53" t="s">
        <v>227</v>
      </c>
      <c r="DK53" t="s">
        <v>228</v>
      </c>
      <c r="DL53" t="str">
        <f t="shared" si="91"/>
        <v>041,00,00,00,01,04,02,02,02,02,02,01,01,03,03,00,00,00,00,00,00,00,00,11,0104020202020201010303000000000000000011,Request lam tapi batal 3,file41,Blk1,Blk2,Blk3,Blk4,Blk5,Blk6</v>
      </c>
    </row>
    <row r="54" spans="2:116" x14ac:dyDescent="0.25">
      <c r="B54">
        <f t="shared" si="92"/>
        <v>42</v>
      </c>
      <c r="M54" t="s">
        <v>55</v>
      </c>
      <c r="W54">
        <f t="shared" si="115"/>
        <v>0</v>
      </c>
      <c r="X54">
        <f t="shared" si="116"/>
        <v>0</v>
      </c>
      <c r="Y54">
        <f t="shared" si="117"/>
        <v>0</v>
      </c>
      <c r="Z54">
        <f t="shared" si="118"/>
        <v>0</v>
      </c>
      <c r="AA54">
        <f t="shared" si="119"/>
        <v>0</v>
      </c>
      <c r="AB54">
        <f t="shared" si="120"/>
        <v>0</v>
      </c>
      <c r="AC54">
        <f t="shared" si="121"/>
        <v>0</v>
      </c>
      <c r="AD54">
        <f t="shared" si="122"/>
        <v>0</v>
      </c>
      <c r="AE54">
        <f t="shared" si="123"/>
        <v>0</v>
      </c>
      <c r="AF54">
        <f t="shared" si="124"/>
        <v>0</v>
      </c>
      <c r="AG54">
        <f t="shared" si="125"/>
        <v>1</v>
      </c>
      <c r="AH54">
        <f t="shared" si="126"/>
        <v>0</v>
      </c>
      <c r="AI54">
        <f t="shared" si="127"/>
        <v>0</v>
      </c>
      <c r="AJ54">
        <f t="shared" si="128"/>
        <v>0</v>
      </c>
      <c r="AK54">
        <f t="shared" si="129"/>
        <v>0</v>
      </c>
      <c r="AL54">
        <f t="shared" si="130"/>
        <v>0</v>
      </c>
      <c r="AM54">
        <f t="shared" si="131"/>
        <v>0</v>
      </c>
      <c r="AN54">
        <f t="shared" si="132"/>
        <v>0</v>
      </c>
      <c r="AO54">
        <f t="shared" si="133"/>
        <v>0</v>
      </c>
      <c r="AP54" s="2" t="str">
        <f t="shared" si="46"/>
        <v/>
      </c>
      <c r="AQ54" t="str">
        <f t="shared" si="140"/>
        <v>S</v>
      </c>
      <c r="AR54" t="str">
        <f t="shared" si="141"/>
        <v>S</v>
      </c>
      <c r="AS54" t="str">
        <f t="shared" si="142"/>
        <v>S</v>
      </c>
      <c r="AT54" t="str">
        <f t="shared" si="143"/>
        <v>S</v>
      </c>
      <c r="AU54" t="str">
        <f t="shared" si="144"/>
        <v>S</v>
      </c>
      <c r="AV54" t="str">
        <f t="shared" si="145"/>
        <v>S</v>
      </c>
      <c r="AW54" t="str">
        <f t="shared" si="146"/>
        <v>S</v>
      </c>
      <c r="AX54" t="str">
        <f t="shared" si="147"/>
        <v>S</v>
      </c>
      <c r="AY54" t="str">
        <f t="shared" si="148"/>
        <v>S</v>
      </c>
      <c r="AZ54" t="str">
        <f t="shared" si="149"/>
        <v>S</v>
      </c>
      <c r="BA54" t="str">
        <f t="shared" si="150"/>
        <v>+</v>
      </c>
      <c r="BB54" t="str">
        <f t="shared" si="151"/>
        <v/>
      </c>
      <c r="BC54" t="str">
        <f t="shared" si="152"/>
        <v/>
      </c>
      <c r="BD54" t="str">
        <f t="shared" si="153"/>
        <v/>
      </c>
      <c r="BE54" t="str">
        <f t="shared" si="154"/>
        <v/>
      </c>
      <c r="BF54" t="str">
        <f t="shared" si="155"/>
        <v/>
      </c>
      <c r="BG54" t="str">
        <f t="shared" si="156"/>
        <v/>
      </c>
      <c r="BH54" t="str">
        <f t="shared" si="157"/>
        <v/>
      </c>
      <c r="BI54" t="str">
        <f t="shared" si="158"/>
        <v/>
      </c>
      <c r="BK54">
        <f t="shared" si="48"/>
        <v>1</v>
      </c>
      <c r="BL54">
        <f t="shared" si="49"/>
        <v>4</v>
      </c>
      <c r="BM54">
        <f t="shared" si="50"/>
        <v>2</v>
      </c>
      <c r="BN54">
        <f t="shared" si="51"/>
        <v>2</v>
      </c>
      <c r="BO54">
        <f t="shared" si="52"/>
        <v>2</v>
      </c>
      <c r="BP54">
        <f t="shared" si="53"/>
        <v>2</v>
      </c>
      <c r="BQ54">
        <f t="shared" si="54"/>
        <v>2</v>
      </c>
      <c r="BR54">
        <f t="shared" si="55"/>
        <v>1</v>
      </c>
      <c r="BS54">
        <f t="shared" si="56"/>
        <v>1</v>
      </c>
      <c r="BT54">
        <f t="shared" si="57"/>
        <v>3</v>
      </c>
      <c r="BU54">
        <f t="shared" si="58"/>
        <v>4</v>
      </c>
      <c r="BV54">
        <f t="shared" si="59"/>
        <v>0</v>
      </c>
      <c r="BW54">
        <f t="shared" si="60"/>
        <v>0</v>
      </c>
      <c r="BX54">
        <f t="shared" si="61"/>
        <v>0</v>
      </c>
      <c r="BY54">
        <f t="shared" si="62"/>
        <v>0</v>
      </c>
      <c r="BZ54">
        <f t="shared" si="63"/>
        <v>0</v>
      </c>
      <c r="CA54">
        <f t="shared" si="64"/>
        <v>0</v>
      </c>
      <c r="CB54">
        <f t="shared" si="65"/>
        <v>0</v>
      </c>
      <c r="CC54">
        <f t="shared" si="66"/>
        <v>0</v>
      </c>
      <c r="CE54" t="str">
        <f t="shared" si="67"/>
        <v>042</v>
      </c>
      <c r="CF54" t="str">
        <f t="shared" si="159"/>
        <v>00</v>
      </c>
      <c r="CG54" t="str">
        <f t="shared" si="159"/>
        <v>00</v>
      </c>
      <c r="CH54" t="str">
        <f t="shared" si="159"/>
        <v>00</v>
      </c>
      <c r="CI54" t="str">
        <f t="shared" si="69"/>
        <v>01</v>
      </c>
      <c r="CJ54" t="str">
        <f t="shared" si="70"/>
        <v>04</v>
      </c>
      <c r="CK54" t="str">
        <f t="shared" si="71"/>
        <v>02</v>
      </c>
      <c r="CL54" t="str">
        <f t="shared" si="72"/>
        <v>02</v>
      </c>
      <c r="CM54" t="str">
        <f t="shared" si="73"/>
        <v>02</v>
      </c>
      <c r="CN54" t="str">
        <f t="shared" si="74"/>
        <v>02</v>
      </c>
      <c r="CO54" t="str">
        <f t="shared" si="75"/>
        <v>02</v>
      </c>
      <c r="CP54" t="str">
        <f t="shared" si="76"/>
        <v>01</v>
      </c>
      <c r="CQ54" t="str">
        <f t="shared" si="77"/>
        <v>01</v>
      </c>
      <c r="CR54" t="str">
        <f t="shared" si="78"/>
        <v>03</v>
      </c>
      <c r="CS54" t="str">
        <f t="shared" si="79"/>
        <v>04</v>
      </c>
      <c r="CT54" t="str">
        <f t="shared" si="80"/>
        <v>00</v>
      </c>
      <c r="CU54" t="str">
        <f t="shared" si="81"/>
        <v>00</v>
      </c>
      <c r="CV54" t="str">
        <f t="shared" si="82"/>
        <v>00</v>
      </c>
      <c r="CW54" t="str">
        <f t="shared" si="83"/>
        <v>00</v>
      </c>
      <c r="CX54" t="str">
        <f t="shared" si="84"/>
        <v>00</v>
      </c>
      <c r="CY54" t="str">
        <f t="shared" si="85"/>
        <v>00</v>
      </c>
      <c r="CZ54" t="str">
        <f t="shared" si="86"/>
        <v>00</v>
      </c>
      <c r="DA54" t="str">
        <f t="shared" si="87"/>
        <v>00</v>
      </c>
      <c r="DB54" t="str">
        <f t="shared" si="88"/>
        <v>11</v>
      </c>
      <c r="DC54" t="str">
        <f t="shared" si="89"/>
        <v>0104020202020201010304000000000000000011</v>
      </c>
      <c r="DD54" t="str">
        <f t="shared" si="90"/>
        <v>Request lam tapi batal 4</v>
      </c>
      <c r="DE54" t="s">
        <v>161</v>
      </c>
      <c r="DF54" t="s">
        <v>223</v>
      </c>
      <c r="DG54" t="s">
        <v>224</v>
      </c>
      <c r="DH54" t="s">
        <v>225</v>
      </c>
      <c r="DI54" t="s">
        <v>226</v>
      </c>
      <c r="DJ54" t="s">
        <v>227</v>
      </c>
      <c r="DK54" t="s">
        <v>228</v>
      </c>
      <c r="DL54" t="str">
        <f t="shared" si="91"/>
        <v>042,00,00,00,01,04,02,02,02,02,02,01,01,03,04,00,00,00,00,00,00,00,00,11,0104020202020201010304000000000000000011,Request lam tapi batal 4,file42,Blk1,Blk2,Blk3,Blk4,Blk5,Blk6</v>
      </c>
    </row>
    <row r="55" spans="2:116" x14ac:dyDescent="0.25">
      <c r="B55">
        <f t="shared" si="92"/>
        <v>43</v>
      </c>
      <c r="L55" t="s">
        <v>56</v>
      </c>
      <c r="W55">
        <f t="shared" si="115"/>
        <v>0</v>
      </c>
      <c r="X55">
        <f t="shared" si="116"/>
        <v>0</v>
      </c>
      <c r="Y55">
        <f t="shared" si="117"/>
        <v>0</v>
      </c>
      <c r="Z55">
        <f t="shared" si="118"/>
        <v>0</v>
      </c>
      <c r="AA55">
        <f t="shared" si="119"/>
        <v>0</v>
      </c>
      <c r="AB55">
        <f t="shared" si="120"/>
        <v>0</v>
      </c>
      <c r="AC55">
        <f t="shared" si="121"/>
        <v>0</v>
      </c>
      <c r="AD55">
        <f t="shared" si="122"/>
        <v>0</v>
      </c>
      <c r="AE55">
        <f t="shared" si="123"/>
        <v>0</v>
      </c>
      <c r="AF55">
        <f t="shared" si="124"/>
        <v>1</v>
      </c>
      <c r="AG55">
        <f t="shared" si="125"/>
        <v>0</v>
      </c>
      <c r="AH55">
        <f t="shared" si="126"/>
        <v>0</v>
      </c>
      <c r="AI55">
        <f t="shared" si="127"/>
        <v>0</v>
      </c>
      <c r="AJ55">
        <f t="shared" si="128"/>
        <v>0</v>
      </c>
      <c r="AK55">
        <f t="shared" si="129"/>
        <v>0</v>
      </c>
      <c r="AL55">
        <f t="shared" si="130"/>
        <v>0</v>
      </c>
      <c r="AM55">
        <f t="shared" si="131"/>
        <v>0</v>
      </c>
      <c r="AN55">
        <f t="shared" si="132"/>
        <v>0</v>
      </c>
      <c r="AO55">
        <f t="shared" si="133"/>
        <v>0</v>
      </c>
      <c r="AP55" s="2" t="str">
        <f t="shared" si="46"/>
        <v/>
      </c>
      <c r="AQ55" t="str">
        <f t="shared" si="140"/>
        <v>S</v>
      </c>
      <c r="AR55" t="str">
        <f t="shared" si="141"/>
        <v>S</v>
      </c>
      <c r="AS55" t="str">
        <f t="shared" si="142"/>
        <v>S</v>
      </c>
      <c r="AT55" t="str">
        <f t="shared" si="143"/>
        <v>S</v>
      </c>
      <c r="AU55" t="str">
        <f t="shared" si="144"/>
        <v>S</v>
      </c>
      <c r="AV55" t="str">
        <f t="shared" si="145"/>
        <v>S</v>
      </c>
      <c r="AW55" t="str">
        <f t="shared" si="146"/>
        <v>S</v>
      </c>
      <c r="AX55" t="str">
        <f t="shared" si="147"/>
        <v>S</v>
      </c>
      <c r="AY55" t="str">
        <f t="shared" si="148"/>
        <v>S</v>
      </c>
      <c r="AZ55" t="str">
        <f t="shared" si="149"/>
        <v>+</v>
      </c>
      <c r="BA55" t="str">
        <f t="shared" si="150"/>
        <v/>
      </c>
      <c r="BB55" t="str">
        <f t="shared" si="151"/>
        <v/>
      </c>
      <c r="BC55" t="str">
        <f t="shared" si="152"/>
        <v/>
      </c>
      <c r="BD55" t="str">
        <f t="shared" si="153"/>
        <v/>
      </c>
      <c r="BE55" t="str">
        <f t="shared" si="154"/>
        <v/>
      </c>
      <c r="BF55" t="str">
        <f t="shared" si="155"/>
        <v/>
      </c>
      <c r="BG55" t="str">
        <f t="shared" si="156"/>
        <v/>
      </c>
      <c r="BH55" t="str">
        <f t="shared" si="157"/>
        <v/>
      </c>
      <c r="BI55" t="str">
        <f t="shared" si="158"/>
        <v/>
      </c>
      <c r="BK55">
        <f t="shared" si="48"/>
        <v>1</v>
      </c>
      <c r="BL55">
        <f t="shared" si="49"/>
        <v>4</v>
      </c>
      <c r="BM55">
        <f t="shared" si="50"/>
        <v>2</v>
      </c>
      <c r="BN55">
        <f t="shared" si="51"/>
        <v>2</v>
      </c>
      <c r="BO55">
        <f t="shared" si="52"/>
        <v>2</v>
      </c>
      <c r="BP55">
        <f t="shared" si="53"/>
        <v>2</v>
      </c>
      <c r="BQ55">
        <f t="shared" si="54"/>
        <v>2</v>
      </c>
      <c r="BR55">
        <f t="shared" si="55"/>
        <v>1</v>
      </c>
      <c r="BS55">
        <f t="shared" si="56"/>
        <v>1</v>
      </c>
      <c r="BT55">
        <f t="shared" si="57"/>
        <v>4</v>
      </c>
      <c r="BU55">
        <f t="shared" si="58"/>
        <v>0</v>
      </c>
      <c r="BV55">
        <f t="shared" si="59"/>
        <v>0</v>
      </c>
      <c r="BW55">
        <f t="shared" si="60"/>
        <v>0</v>
      </c>
      <c r="BX55">
        <f t="shared" si="61"/>
        <v>0</v>
      </c>
      <c r="BY55">
        <f t="shared" si="62"/>
        <v>0</v>
      </c>
      <c r="BZ55">
        <f t="shared" si="63"/>
        <v>0</v>
      </c>
      <c r="CA55">
        <f t="shared" si="64"/>
        <v>0</v>
      </c>
      <c r="CB55">
        <f t="shared" si="65"/>
        <v>0</v>
      </c>
      <c r="CC55">
        <f t="shared" si="66"/>
        <v>0</v>
      </c>
      <c r="CE55" t="str">
        <f t="shared" si="67"/>
        <v>043</v>
      </c>
      <c r="CF55" t="str">
        <f t="shared" si="159"/>
        <v>00</v>
      </c>
      <c r="CG55" t="str">
        <f t="shared" si="159"/>
        <v>00</v>
      </c>
      <c r="CH55" t="str">
        <f t="shared" si="159"/>
        <v>00</v>
      </c>
      <c r="CI55" t="str">
        <f t="shared" si="69"/>
        <v>01</v>
      </c>
      <c r="CJ55" t="str">
        <f t="shared" si="70"/>
        <v>04</v>
      </c>
      <c r="CK55" t="str">
        <f t="shared" si="71"/>
        <v>02</v>
      </c>
      <c r="CL55" t="str">
        <f t="shared" si="72"/>
        <v>02</v>
      </c>
      <c r="CM55" t="str">
        <f t="shared" si="73"/>
        <v>02</v>
      </c>
      <c r="CN55" t="str">
        <f t="shared" si="74"/>
        <v>02</v>
      </c>
      <c r="CO55" t="str">
        <f t="shared" si="75"/>
        <v>02</v>
      </c>
      <c r="CP55" t="str">
        <f t="shared" si="76"/>
        <v>01</v>
      </c>
      <c r="CQ55" t="str">
        <f t="shared" si="77"/>
        <v>01</v>
      </c>
      <c r="CR55" t="str">
        <f t="shared" si="78"/>
        <v>04</v>
      </c>
      <c r="CS55" t="str">
        <f t="shared" si="79"/>
        <v>00</v>
      </c>
      <c r="CT55" t="str">
        <f t="shared" si="80"/>
        <v>00</v>
      </c>
      <c r="CU55" t="str">
        <f t="shared" si="81"/>
        <v>00</v>
      </c>
      <c r="CV55" t="str">
        <f t="shared" si="82"/>
        <v>00</v>
      </c>
      <c r="CW55" t="str">
        <f t="shared" si="83"/>
        <v>00</v>
      </c>
      <c r="CX55" t="str">
        <f t="shared" si="84"/>
        <v>00</v>
      </c>
      <c r="CY55" t="str">
        <f t="shared" si="85"/>
        <v>00</v>
      </c>
      <c r="CZ55" t="str">
        <f t="shared" si="86"/>
        <v>00</v>
      </c>
      <c r="DA55" t="str">
        <f t="shared" si="87"/>
        <v>00</v>
      </c>
      <c r="DB55" t="str">
        <f t="shared" si="88"/>
        <v>10</v>
      </c>
      <c r="DC55" t="str">
        <f t="shared" si="89"/>
        <v>0104020202020201010400000000000000000010</v>
      </c>
      <c r="DD55" t="str">
        <f t="shared" si="90"/>
        <v>Request lama sangat 4</v>
      </c>
      <c r="DE55" t="s">
        <v>162</v>
      </c>
      <c r="DF55" t="s">
        <v>223</v>
      </c>
      <c r="DG55" t="s">
        <v>224</v>
      </c>
      <c r="DH55" t="s">
        <v>225</v>
      </c>
      <c r="DI55" t="s">
        <v>226</v>
      </c>
      <c r="DJ55" t="s">
        <v>227</v>
      </c>
      <c r="DK55" t="s">
        <v>228</v>
      </c>
      <c r="DL55" t="str">
        <f t="shared" si="91"/>
        <v>043,00,00,00,01,04,02,02,02,02,02,01,01,04,00,00,00,00,00,00,00,00,00,10,0104020202020201010400000000000000000010,Request lama sangat 4,file43,Blk1,Blk2,Blk3,Blk4,Blk5,Blk6</v>
      </c>
    </row>
    <row r="56" spans="2:116" x14ac:dyDescent="0.25">
      <c r="B56">
        <f t="shared" si="92"/>
        <v>44</v>
      </c>
      <c r="L56" t="s">
        <v>57</v>
      </c>
      <c r="W56">
        <f t="shared" si="115"/>
        <v>0</v>
      </c>
      <c r="X56">
        <f t="shared" si="116"/>
        <v>0</v>
      </c>
      <c r="Y56">
        <f t="shared" si="117"/>
        <v>0</v>
      </c>
      <c r="Z56">
        <f t="shared" si="118"/>
        <v>0</v>
      </c>
      <c r="AA56">
        <f t="shared" si="119"/>
        <v>0</v>
      </c>
      <c r="AB56">
        <f t="shared" si="120"/>
        <v>0</v>
      </c>
      <c r="AC56">
        <f t="shared" si="121"/>
        <v>0</v>
      </c>
      <c r="AD56">
        <f t="shared" si="122"/>
        <v>0</v>
      </c>
      <c r="AE56">
        <f t="shared" si="123"/>
        <v>0</v>
      </c>
      <c r="AF56">
        <f t="shared" si="124"/>
        <v>1</v>
      </c>
      <c r="AG56">
        <f t="shared" si="125"/>
        <v>0</v>
      </c>
      <c r="AH56">
        <f t="shared" si="126"/>
        <v>0</v>
      </c>
      <c r="AI56">
        <f t="shared" si="127"/>
        <v>0</v>
      </c>
      <c r="AJ56">
        <f t="shared" si="128"/>
        <v>0</v>
      </c>
      <c r="AK56">
        <f t="shared" si="129"/>
        <v>0</v>
      </c>
      <c r="AL56">
        <f t="shared" si="130"/>
        <v>0</v>
      </c>
      <c r="AM56">
        <f t="shared" si="131"/>
        <v>0</v>
      </c>
      <c r="AN56">
        <f t="shared" si="132"/>
        <v>0</v>
      </c>
      <c r="AO56">
        <f t="shared" si="133"/>
        <v>0</v>
      </c>
      <c r="AP56" s="2" t="str">
        <f t="shared" si="46"/>
        <v/>
      </c>
      <c r="AQ56" t="str">
        <f t="shared" si="140"/>
        <v>S</v>
      </c>
      <c r="AR56" t="str">
        <f t="shared" si="141"/>
        <v>S</v>
      </c>
      <c r="AS56" t="str">
        <f t="shared" si="142"/>
        <v>S</v>
      </c>
      <c r="AT56" t="str">
        <f t="shared" si="143"/>
        <v>S</v>
      </c>
      <c r="AU56" t="str">
        <f t="shared" si="144"/>
        <v>S</v>
      </c>
      <c r="AV56" t="str">
        <f t="shared" si="145"/>
        <v>S</v>
      </c>
      <c r="AW56" t="str">
        <f t="shared" si="146"/>
        <v>S</v>
      </c>
      <c r="AX56" t="str">
        <f t="shared" si="147"/>
        <v>S</v>
      </c>
      <c r="AY56" t="str">
        <f t="shared" si="148"/>
        <v>S</v>
      </c>
      <c r="AZ56" t="str">
        <f t="shared" si="149"/>
        <v>+</v>
      </c>
      <c r="BA56" t="str">
        <f t="shared" si="150"/>
        <v/>
      </c>
      <c r="BB56" t="str">
        <f t="shared" si="151"/>
        <v/>
      </c>
      <c r="BC56" t="str">
        <f t="shared" si="152"/>
        <v/>
      </c>
      <c r="BD56" t="str">
        <f t="shared" si="153"/>
        <v/>
      </c>
      <c r="BE56" t="str">
        <f t="shared" si="154"/>
        <v/>
      </c>
      <c r="BF56" t="str">
        <f t="shared" si="155"/>
        <v/>
      </c>
      <c r="BG56" t="str">
        <f t="shared" si="156"/>
        <v/>
      </c>
      <c r="BH56" t="str">
        <f t="shared" si="157"/>
        <v/>
      </c>
      <c r="BI56" t="str">
        <f t="shared" si="158"/>
        <v/>
      </c>
      <c r="BK56">
        <f t="shared" si="48"/>
        <v>1</v>
      </c>
      <c r="BL56">
        <f t="shared" si="49"/>
        <v>4</v>
      </c>
      <c r="BM56">
        <f t="shared" si="50"/>
        <v>2</v>
      </c>
      <c r="BN56">
        <f t="shared" si="51"/>
        <v>2</v>
      </c>
      <c r="BO56">
        <f t="shared" si="52"/>
        <v>2</v>
      </c>
      <c r="BP56">
        <f t="shared" si="53"/>
        <v>2</v>
      </c>
      <c r="BQ56">
        <f t="shared" si="54"/>
        <v>2</v>
      </c>
      <c r="BR56">
        <f t="shared" si="55"/>
        <v>1</v>
      </c>
      <c r="BS56">
        <f t="shared" si="56"/>
        <v>1</v>
      </c>
      <c r="BT56">
        <f t="shared" si="57"/>
        <v>5</v>
      </c>
      <c r="BU56">
        <f t="shared" si="58"/>
        <v>0</v>
      </c>
      <c r="BV56">
        <f t="shared" si="59"/>
        <v>0</v>
      </c>
      <c r="BW56">
        <f t="shared" si="60"/>
        <v>0</v>
      </c>
      <c r="BX56">
        <f t="shared" si="61"/>
        <v>0</v>
      </c>
      <c r="BY56">
        <f t="shared" si="62"/>
        <v>0</v>
      </c>
      <c r="BZ56">
        <f t="shared" si="63"/>
        <v>0</v>
      </c>
      <c r="CA56">
        <f t="shared" si="64"/>
        <v>0</v>
      </c>
      <c r="CB56">
        <f t="shared" si="65"/>
        <v>0</v>
      </c>
      <c r="CC56">
        <f t="shared" si="66"/>
        <v>0</v>
      </c>
      <c r="CE56" t="str">
        <f t="shared" si="67"/>
        <v>044</v>
      </c>
      <c r="CF56" t="str">
        <f t="shared" si="159"/>
        <v>00</v>
      </c>
      <c r="CG56" t="str">
        <f t="shared" si="159"/>
        <v>00</v>
      </c>
      <c r="CH56" t="str">
        <f t="shared" si="159"/>
        <v>00</v>
      </c>
      <c r="CI56" t="str">
        <f t="shared" si="69"/>
        <v>01</v>
      </c>
      <c r="CJ56" t="str">
        <f t="shared" si="70"/>
        <v>04</v>
      </c>
      <c r="CK56" t="str">
        <f t="shared" si="71"/>
        <v>02</v>
      </c>
      <c r="CL56" t="str">
        <f t="shared" si="72"/>
        <v>02</v>
      </c>
      <c r="CM56" t="str">
        <f t="shared" si="73"/>
        <v>02</v>
      </c>
      <c r="CN56" t="str">
        <f t="shared" si="74"/>
        <v>02</v>
      </c>
      <c r="CO56" t="str">
        <f t="shared" si="75"/>
        <v>02</v>
      </c>
      <c r="CP56" t="str">
        <f t="shared" si="76"/>
        <v>01</v>
      </c>
      <c r="CQ56" t="str">
        <f t="shared" si="77"/>
        <v>01</v>
      </c>
      <c r="CR56" t="str">
        <f t="shared" si="78"/>
        <v>05</v>
      </c>
      <c r="CS56" t="str">
        <f t="shared" si="79"/>
        <v>00</v>
      </c>
      <c r="CT56" t="str">
        <f t="shared" si="80"/>
        <v>00</v>
      </c>
      <c r="CU56" t="str">
        <f t="shared" si="81"/>
        <v>00</v>
      </c>
      <c r="CV56" t="str">
        <f t="shared" si="82"/>
        <v>00</v>
      </c>
      <c r="CW56" t="str">
        <f t="shared" si="83"/>
        <v>00</v>
      </c>
      <c r="CX56" t="str">
        <f t="shared" si="84"/>
        <v>00</v>
      </c>
      <c r="CY56" t="str">
        <f t="shared" si="85"/>
        <v>00</v>
      </c>
      <c r="CZ56" t="str">
        <f t="shared" si="86"/>
        <v>00</v>
      </c>
      <c r="DA56" t="str">
        <f t="shared" si="87"/>
        <v>00</v>
      </c>
      <c r="DB56" t="str">
        <f t="shared" si="88"/>
        <v>10</v>
      </c>
      <c r="DC56" t="str">
        <f t="shared" si="89"/>
        <v>0104020202020201010500000000000000000010</v>
      </c>
      <c r="DD56" t="str">
        <f t="shared" si="90"/>
        <v>Request lama sangat 5</v>
      </c>
      <c r="DE56" t="s">
        <v>163</v>
      </c>
      <c r="DF56" t="s">
        <v>223</v>
      </c>
      <c r="DG56" t="s">
        <v>224</v>
      </c>
      <c r="DH56" t="s">
        <v>225</v>
      </c>
      <c r="DI56" t="s">
        <v>226</v>
      </c>
      <c r="DJ56" t="s">
        <v>227</v>
      </c>
      <c r="DK56" t="s">
        <v>228</v>
      </c>
      <c r="DL56" t="str">
        <f t="shared" si="91"/>
        <v>044,00,00,00,01,04,02,02,02,02,02,01,01,05,00,00,00,00,00,00,00,00,00,10,0104020202020201010500000000000000000010,Request lama sangat 5,file44,Blk1,Blk2,Blk3,Blk4,Blk5,Blk6</v>
      </c>
    </row>
    <row r="57" spans="2:116" x14ac:dyDescent="0.25">
      <c r="B57">
        <f t="shared" si="92"/>
        <v>45</v>
      </c>
      <c r="K57" t="s">
        <v>58</v>
      </c>
      <c r="W57">
        <f t="shared" si="115"/>
        <v>0</v>
      </c>
      <c r="X57">
        <f t="shared" si="116"/>
        <v>0</v>
      </c>
      <c r="Y57">
        <f t="shared" si="117"/>
        <v>0</v>
      </c>
      <c r="Z57">
        <f t="shared" si="118"/>
        <v>0</v>
      </c>
      <c r="AA57">
        <f t="shared" si="119"/>
        <v>0</v>
      </c>
      <c r="AB57">
        <f t="shared" si="120"/>
        <v>0</v>
      </c>
      <c r="AC57">
        <f t="shared" si="121"/>
        <v>0</v>
      </c>
      <c r="AD57">
        <f t="shared" si="122"/>
        <v>0</v>
      </c>
      <c r="AE57">
        <f t="shared" si="123"/>
        <v>1</v>
      </c>
      <c r="AF57">
        <f t="shared" si="124"/>
        <v>0</v>
      </c>
      <c r="AG57">
        <f t="shared" si="125"/>
        <v>0</v>
      </c>
      <c r="AH57">
        <f t="shared" si="126"/>
        <v>0</v>
      </c>
      <c r="AI57">
        <f t="shared" si="127"/>
        <v>0</v>
      </c>
      <c r="AJ57">
        <f t="shared" si="128"/>
        <v>0</v>
      </c>
      <c r="AK57">
        <f t="shared" si="129"/>
        <v>0</v>
      </c>
      <c r="AL57">
        <f t="shared" si="130"/>
        <v>0</v>
      </c>
      <c r="AM57">
        <f t="shared" si="131"/>
        <v>0</v>
      </c>
      <c r="AN57">
        <f t="shared" si="132"/>
        <v>0</v>
      </c>
      <c r="AO57">
        <f t="shared" si="133"/>
        <v>0</v>
      </c>
      <c r="AP57" s="2" t="str">
        <f t="shared" si="46"/>
        <v/>
      </c>
      <c r="AQ57" t="str">
        <f t="shared" si="140"/>
        <v>S</v>
      </c>
      <c r="AR57" t="str">
        <f t="shared" si="141"/>
        <v>S</v>
      </c>
      <c r="AS57" t="str">
        <f t="shared" si="142"/>
        <v>S</v>
      </c>
      <c r="AT57" t="str">
        <f t="shared" si="143"/>
        <v>S</v>
      </c>
      <c r="AU57" t="str">
        <f t="shared" si="144"/>
        <v>S</v>
      </c>
      <c r="AV57" t="str">
        <f t="shared" si="145"/>
        <v>S</v>
      </c>
      <c r="AW57" t="str">
        <f t="shared" si="146"/>
        <v>S</v>
      </c>
      <c r="AX57" t="str">
        <f t="shared" si="147"/>
        <v>S</v>
      </c>
      <c r="AY57" t="str">
        <f t="shared" si="148"/>
        <v>+</v>
      </c>
      <c r="AZ57" t="str">
        <f t="shared" si="149"/>
        <v/>
      </c>
      <c r="BA57" t="str">
        <f t="shared" si="150"/>
        <v/>
      </c>
      <c r="BB57" t="str">
        <f t="shared" si="151"/>
        <v/>
      </c>
      <c r="BC57" t="str">
        <f t="shared" si="152"/>
        <v/>
      </c>
      <c r="BD57" t="str">
        <f t="shared" si="153"/>
        <v/>
      </c>
      <c r="BE57" t="str">
        <f t="shared" si="154"/>
        <v/>
      </c>
      <c r="BF57" t="str">
        <f t="shared" si="155"/>
        <v/>
      </c>
      <c r="BG57" t="str">
        <f t="shared" si="156"/>
        <v/>
      </c>
      <c r="BH57" t="str">
        <f t="shared" si="157"/>
        <v/>
      </c>
      <c r="BI57" t="str">
        <f t="shared" si="158"/>
        <v/>
      </c>
      <c r="BK57">
        <f t="shared" si="48"/>
        <v>1</v>
      </c>
      <c r="BL57">
        <f t="shared" si="49"/>
        <v>4</v>
      </c>
      <c r="BM57">
        <f t="shared" si="50"/>
        <v>2</v>
      </c>
      <c r="BN57">
        <f t="shared" si="51"/>
        <v>2</v>
      </c>
      <c r="BO57">
        <f t="shared" si="52"/>
        <v>2</v>
      </c>
      <c r="BP57">
        <f t="shared" si="53"/>
        <v>2</v>
      </c>
      <c r="BQ57">
        <f t="shared" si="54"/>
        <v>2</v>
      </c>
      <c r="BR57">
        <f t="shared" si="55"/>
        <v>1</v>
      </c>
      <c r="BS57">
        <f t="shared" si="56"/>
        <v>2</v>
      </c>
      <c r="BT57">
        <f t="shared" si="57"/>
        <v>0</v>
      </c>
      <c r="BU57">
        <f t="shared" si="58"/>
        <v>0</v>
      </c>
      <c r="BV57">
        <f t="shared" si="59"/>
        <v>0</v>
      </c>
      <c r="BW57">
        <f t="shared" si="60"/>
        <v>0</v>
      </c>
      <c r="BX57">
        <f t="shared" si="61"/>
        <v>0</v>
      </c>
      <c r="BY57">
        <f t="shared" si="62"/>
        <v>0</v>
      </c>
      <c r="BZ57">
        <f t="shared" si="63"/>
        <v>0</v>
      </c>
      <c r="CA57">
        <f t="shared" si="64"/>
        <v>0</v>
      </c>
      <c r="CB57">
        <f t="shared" si="65"/>
        <v>0</v>
      </c>
      <c r="CC57">
        <f t="shared" si="66"/>
        <v>0</v>
      </c>
      <c r="CE57" t="str">
        <f t="shared" si="67"/>
        <v>045</v>
      </c>
      <c r="CF57" t="str">
        <f t="shared" si="159"/>
        <v>00</v>
      </c>
      <c r="CG57" t="str">
        <f t="shared" si="159"/>
        <v>00</v>
      </c>
      <c r="CH57" t="str">
        <f t="shared" si="159"/>
        <v>00</v>
      </c>
      <c r="CI57" t="str">
        <f t="shared" si="69"/>
        <v>01</v>
      </c>
      <c r="CJ57" t="str">
        <f t="shared" si="70"/>
        <v>04</v>
      </c>
      <c r="CK57" t="str">
        <f t="shared" si="71"/>
        <v>02</v>
      </c>
      <c r="CL57" t="str">
        <f t="shared" si="72"/>
        <v>02</v>
      </c>
      <c r="CM57" t="str">
        <f t="shared" si="73"/>
        <v>02</v>
      </c>
      <c r="CN57" t="str">
        <f t="shared" si="74"/>
        <v>02</v>
      </c>
      <c r="CO57" t="str">
        <f t="shared" si="75"/>
        <v>02</v>
      </c>
      <c r="CP57" t="str">
        <f t="shared" si="76"/>
        <v>01</v>
      </c>
      <c r="CQ57" t="str">
        <f t="shared" si="77"/>
        <v>02</v>
      </c>
      <c r="CR57" t="str">
        <f t="shared" si="78"/>
        <v>00</v>
      </c>
      <c r="CS57" t="str">
        <f t="shared" si="79"/>
        <v>00</v>
      </c>
      <c r="CT57" t="str">
        <f t="shared" si="80"/>
        <v>00</v>
      </c>
      <c r="CU57" t="str">
        <f t="shared" si="81"/>
        <v>00</v>
      </c>
      <c r="CV57" t="str">
        <f t="shared" si="82"/>
        <v>00</v>
      </c>
      <c r="CW57" t="str">
        <f t="shared" si="83"/>
        <v>00</v>
      </c>
      <c r="CX57" t="str">
        <f t="shared" si="84"/>
        <v>00</v>
      </c>
      <c r="CY57" t="str">
        <f t="shared" si="85"/>
        <v>00</v>
      </c>
      <c r="CZ57" t="str">
        <f t="shared" si="86"/>
        <v>00</v>
      </c>
      <c r="DA57" t="str">
        <f t="shared" si="87"/>
        <v>00</v>
      </c>
      <c r="DB57" t="str">
        <f t="shared" si="88"/>
        <v>09</v>
      </c>
      <c r="DC57" t="str">
        <f t="shared" si="89"/>
        <v>0104020202020201020000000000000000000009</v>
      </c>
      <c r="DD57" t="str">
        <f t="shared" si="90"/>
        <v>Request tak lama sangat</v>
      </c>
      <c r="DE57" t="s">
        <v>164</v>
      </c>
      <c r="DF57" t="s">
        <v>223</v>
      </c>
      <c r="DG57" t="s">
        <v>224</v>
      </c>
      <c r="DH57" t="s">
        <v>225</v>
      </c>
      <c r="DI57" t="s">
        <v>226</v>
      </c>
      <c r="DJ57" t="s">
        <v>227</v>
      </c>
      <c r="DK57" t="s">
        <v>228</v>
      </c>
      <c r="DL57" t="str">
        <f t="shared" si="91"/>
        <v>045,00,00,00,01,04,02,02,02,02,02,01,02,00,00,00,00,00,00,00,00,00,00,09,0104020202020201020000000000000000000009,Request tak lama sangat,file45,Blk1,Blk2,Blk3,Blk4,Blk5,Blk6</v>
      </c>
    </row>
    <row r="58" spans="2:116" x14ac:dyDescent="0.25">
      <c r="B58">
        <f t="shared" si="92"/>
        <v>46</v>
      </c>
      <c r="K58" t="s">
        <v>59</v>
      </c>
      <c r="W58">
        <f t="shared" si="115"/>
        <v>0</v>
      </c>
      <c r="X58">
        <f t="shared" si="116"/>
        <v>0</v>
      </c>
      <c r="Y58">
        <f t="shared" si="117"/>
        <v>0</v>
      </c>
      <c r="Z58">
        <f t="shared" si="118"/>
        <v>0</v>
      </c>
      <c r="AA58">
        <f t="shared" si="119"/>
        <v>0</v>
      </c>
      <c r="AB58">
        <f t="shared" si="120"/>
        <v>0</v>
      </c>
      <c r="AC58">
        <f t="shared" si="121"/>
        <v>0</v>
      </c>
      <c r="AD58">
        <f t="shared" si="122"/>
        <v>0</v>
      </c>
      <c r="AE58">
        <f t="shared" si="123"/>
        <v>1</v>
      </c>
      <c r="AF58">
        <f t="shared" si="124"/>
        <v>0</v>
      </c>
      <c r="AG58">
        <f t="shared" si="125"/>
        <v>0</v>
      </c>
      <c r="AH58">
        <f t="shared" si="126"/>
        <v>0</v>
      </c>
      <c r="AI58">
        <f t="shared" si="127"/>
        <v>0</v>
      </c>
      <c r="AJ58">
        <f t="shared" si="128"/>
        <v>0</v>
      </c>
      <c r="AK58">
        <f t="shared" si="129"/>
        <v>0</v>
      </c>
      <c r="AL58">
        <f t="shared" si="130"/>
        <v>0</v>
      </c>
      <c r="AM58">
        <f t="shared" si="131"/>
        <v>0</v>
      </c>
      <c r="AN58">
        <f t="shared" si="132"/>
        <v>0</v>
      </c>
      <c r="AO58">
        <f t="shared" si="133"/>
        <v>0</v>
      </c>
      <c r="AP58" s="2" t="str">
        <f t="shared" si="46"/>
        <v/>
      </c>
      <c r="AQ58" t="str">
        <f t="shared" si="140"/>
        <v>S</v>
      </c>
      <c r="AR58" t="str">
        <f t="shared" si="141"/>
        <v>S</v>
      </c>
      <c r="AS58" t="str">
        <f t="shared" si="142"/>
        <v>S</v>
      </c>
      <c r="AT58" t="str">
        <f t="shared" si="143"/>
        <v>S</v>
      </c>
      <c r="AU58" t="str">
        <f t="shared" si="144"/>
        <v>S</v>
      </c>
      <c r="AV58" t="str">
        <f t="shared" si="145"/>
        <v>S</v>
      </c>
      <c r="AW58" t="str">
        <f t="shared" si="146"/>
        <v>S</v>
      </c>
      <c r="AX58" t="str">
        <f t="shared" si="147"/>
        <v>S</v>
      </c>
      <c r="AY58" t="str">
        <f t="shared" si="148"/>
        <v>+</v>
      </c>
      <c r="AZ58" t="str">
        <f t="shared" si="149"/>
        <v/>
      </c>
      <c r="BA58" t="str">
        <f t="shared" si="150"/>
        <v/>
      </c>
      <c r="BB58" t="str">
        <f t="shared" si="151"/>
        <v/>
      </c>
      <c r="BC58" t="str">
        <f t="shared" si="152"/>
        <v/>
      </c>
      <c r="BD58" t="str">
        <f t="shared" si="153"/>
        <v/>
      </c>
      <c r="BE58" t="str">
        <f t="shared" si="154"/>
        <v/>
      </c>
      <c r="BF58" t="str">
        <f t="shared" si="155"/>
        <v/>
      </c>
      <c r="BG58" t="str">
        <f t="shared" si="156"/>
        <v/>
      </c>
      <c r="BH58" t="str">
        <f t="shared" si="157"/>
        <v/>
      </c>
      <c r="BI58" t="str">
        <f t="shared" si="158"/>
        <v/>
      </c>
      <c r="BK58">
        <f t="shared" si="48"/>
        <v>1</v>
      </c>
      <c r="BL58">
        <f t="shared" si="49"/>
        <v>4</v>
      </c>
      <c r="BM58">
        <f t="shared" si="50"/>
        <v>2</v>
      </c>
      <c r="BN58">
        <f t="shared" si="51"/>
        <v>2</v>
      </c>
      <c r="BO58">
        <f t="shared" si="52"/>
        <v>2</v>
      </c>
      <c r="BP58">
        <f t="shared" si="53"/>
        <v>2</v>
      </c>
      <c r="BQ58">
        <f t="shared" si="54"/>
        <v>2</v>
      </c>
      <c r="BR58">
        <f t="shared" si="55"/>
        <v>1</v>
      </c>
      <c r="BS58">
        <f t="shared" si="56"/>
        <v>3</v>
      </c>
      <c r="BT58">
        <f t="shared" si="57"/>
        <v>0</v>
      </c>
      <c r="BU58">
        <f t="shared" si="58"/>
        <v>0</v>
      </c>
      <c r="BV58">
        <f t="shared" si="59"/>
        <v>0</v>
      </c>
      <c r="BW58">
        <f t="shared" si="60"/>
        <v>0</v>
      </c>
      <c r="BX58">
        <f t="shared" si="61"/>
        <v>0</v>
      </c>
      <c r="BY58">
        <f t="shared" si="62"/>
        <v>0</v>
      </c>
      <c r="BZ58">
        <f t="shared" si="63"/>
        <v>0</v>
      </c>
      <c r="CA58">
        <f t="shared" si="64"/>
        <v>0</v>
      </c>
      <c r="CB58">
        <f t="shared" si="65"/>
        <v>0</v>
      </c>
      <c r="CC58">
        <f t="shared" si="66"/>
        <v>0</v>
      </c>
      <c r="CE58" t="str">
        <f t="shared" si="67"/>
        <v>046</v>
      </c>
      <c r="CF58" t="str">
        <f t="shared" si="159"/>
        <v>00</v>
      </c>
      <c r="CG58" t="str">
        <f t="shared" si="159"/>
        <v>00</v>
      </c>
      <c r="CH58" t="str">
        <f t="shared" si="159"/>
        <v>00</v>
      </c>
      <c r="CI58" t="str">
        <f t="shared" si="69"/>
        <v>01</v>
      </c>
      <c r="CJ58" t="str">
        <f t="shared" si="70"/>
        <v>04</v>
      </c>
      <c r="CK58" t="str">
        <f t="shared" si="71"/>
        <v>02</v>
      </c>
      <c r="CL58" t="str">
        <f t="shared" si="72"/>
        <v>02</v>
      </c>
      <c r="CM58" t="str">
        <f t="shared" si="73"/>
        <v>02</v>
      </c>
      <c r="CN58" t="str">
        <f t="shared" si="74"/>
        <v>02</v>
      </c>
      <c r="CO58" t="str">
        <f t="shared" si="75"/>
        <v>02</v>
      </c>
      <c r="CP58" t="str">
        <f t="shared" si="76"/>
        <v>01</v>
      </c>
      <c r="CQ58" t="str">
        <f t="shared" si="77"/>
        <v>03</v>
      </c>
      <c r="CR58" t="str">
        <f t="shared" si="78"/>
        <v>00</v>
      </c>
      <c r="CS58" t="str">
        <f t="shared" si="79"/>
        <v>00</v>
      </c>
      <c r="CT58" t="str">
        <f t="shared" si="80"/>
        <v>00</v>
      </c>
      <c r="CU58" t="str">
        <f t="shared" si="81"/>
        <v>00</v>
      </c>
      <c r="CV58" t="str">
        <f t="shared" si="82"/>
        <v>00</v>
      </c>
      <c r="CW58" t="str">
        <f t="shared" si="83"/>
        <v>00</v>
      </c>
      <c r="CX58" t="str">
        <f t="shared" si="84"/>
        <v>00</v>
      </c>
      <c r="CY58" t="str">
        <f t="shared" si="85"/>
        <v>00</v>
      </c>
      <c r="CZ58" t="str">
        <f t="shared" si="86"/>
        <v>00</v>
      </c>
      <c r="DA58" t="str">
        <f t="shared" si="87"/>
        <v>00</v>
      </c>
      <c r="DB58" t="str">
        <f t="shared" si="88"/>
        <v>09</v>
      </c>
      <c r="DC58" t="str">
        <f t="shared" si="89"/>
        <v>0104020202020201030000000000000000000009</v>
      </c>
      <c r="DD58" t="str">
        <f t="shared" si="90"/>
        <v>Request lama giler</v>
      </c>
      <c r="DE58" t="s">
        <v>165</v>
      </c>
      <c r="DF58" t="s">
        <v>223</v>
      </c>
      <c r="DG58" t="s">
        <v>224</v>
      </c>
      <c r="DH58" t="s">
        <v>225</v>
      </c>
      <c r="DI58" t="s">
        <v>226</v>
      </c>
      <c r="DJ58" t="s">
        <v>227</v>
      </c>
      <c r="DK58" t="s">
        <v>228</v>
      </c>
      <c r="DL58" t="str">
        <f t="shared" si="91"/>
        <v>046,00,00,00,01,04,02,02,02,02,02,01,03,00,00,00,00,00,00,00,00,00,00,09,0104020202020201030000000000000000000009,Request lama giler,file46,Blk1,Blk2,Blk3,Blk4,Blk5,Blk6</v>
      </c>
    </row>
    <row r="59" spans="2:116" x14ac:dyDescent="0.25">
      <c r="B59">
        <f t="shared" si="92"/>
        <v>47</v>
      </c>
      <c r="L59" t="s">
        <v>60</v>
      </c>
      <c r="W59">
        <f t="shared" si="115"/>
        <v>0</v>
      </c>
      <c r="X59">
        <f t="shared" si="116"/>
        <v>0</v>
      </c>
      <c r="Y59">
        <f t="shared" si="117"/>
        <v>0</v>
      </c>
      <c r="Z59">
        <f t="shared" si="118"/>
        <v>0</v>
      </c>
      <c r="AA59">
        <f t="shared" si="119"/>
        <v>0</v>
      </c>
      <c r="AB59">
        <f t="shared" si="120"/>
        <v>0</v>
      </c>
      <c r="AC59">
        <f t="shared" si="121"/>
        <v>0</v>
      </c>
      <c r="AD59">
        <f t="shared" si="122"/>
        <v>0</v>
      </c>
      <c r="AE59">
        <f t="shared" si="123"/>
        <v>0</v>
      </c>
      <c r="AF59">
        <f t="shared" si="124"/>
        <v>1</v>
      </c>
      <c r="AG59">
        <f t="shared" si="125"/>
        <v>0</v>
      </c>
      <c r="AH59">
        <f t="shared" si="126"/>
        <v>0</v>
      </c>
      <c r="AI59">
        <f t="shared" si="127"/>
        <v>0</v>
      </c>
      <c r="AJ59">
        <f t="shared" si="128"/>
        <v>0</v>
      </c>
      <c r="AK59">
        <f t="shared" si="129"/>
        <v>0</v>
      </c>
      <c r="AL59">
        <f t="shared" si="130"/>
        <v>0</v>
      </c>
      <c r="AM59">
        <f t="shared" si="131"/>
        <v>0</v>
      </c>
      <c r="AN59">
        <f t="shared" si="132"/>
        <v>0</v>
      </c>
      <c r="AO59">
        <f t="shared" si="133"/>
        <v>0</v>
      </c>
      <c r="AP59" s="2" t="str">
        <f t="shared" si="46"/>
        <v/>
      </c>
      <c r="AQ59" t="str">
        <f t="shared" si="140"/>
        <v>S</v>
      </c>
      <c r="AR59" t="str">
        <f t="shared" si="141"/>
        <v>S</v>
      </c>
      <c r="AS59" t="str">
        <f t="shared" si="142"/>
        <v>S</v>
      </c>
      <c r="AT59" t="str">
        <f t="shared" si="143"/>
        <v>S</v>
      </c>
      <c r="AU59" t="str">
        <f t="shared" si="144"/>
        <v>S</v>
      </c>
      <c r="AV59" t="str">
        <f t="shared" si="145"/>
        <v>S</v>
      </c>
      <c r="AW59" t="str">
        <f t="shared" si="146"/>
        <v>S</v>
      </c>
      <c r="AX59" t="str">
        <f t="shared" si="147"/>
        <v>S</v>
      </c>
      <c r="AY59" t="str">
        <f t="shared" si="148"/>
        <v>S</v>
      </c>
      <c r="AZ59">
        <f t="shared" si="149"/>
        <v>1</v>
      </c>
      <c r="BA59" t="str">
        <f t="shared" si="150"/>
        <v/>
      </c>
      <c r="BB59" t="str">
        <f t="shared" si="151"/>
        <v/>
      </c>
      <c r="BC59" t="str">
        <f t="shared" si="152"/>
        <v/>
      </c>
      <c r="BD59" t="str">
        <f t="shared" si="153"/>
        <v/>
      </c>
      <c r="BE59" t="str">
        <f t="shared" si="154"/>
        <v/>
      </c>
      <c r="BF59" t="str">
        <f t="shared" si="155"/>
        <v/>
      </c>
      <c r="BG59" t="str">
        <f t="shared" si="156"/>
        <v/>
      </c>
      <c r="BH59" t="str">
        <f t="shared" si="157"/>
        <v/>
      </c>
      <c r="BI59" t="str">
        <f t="shared" si="158"/>
        <v/>
      </c>
      <c r="BK59">
        <f t="shared" si="48"/>
        <v>1</v>
      </c>
      <c r="BL59">
        <f t="shared" si="49"/>
        <v>4</v>
      </c>
      <c r="BM59">
        <f t="shared" si="50"/>
        <v>2</v>
      </c>
      <c r="BN59">
        <f t="shared" si="51"/>
        <v>2</v>
      </c>
      <c r="BO59">
        <f t="shared" si="52"/>
        <v>2</v>
      </c>
      <c r="BP59">
        <f t="shared" si="53"/>
        <v>2</v>
      </c>
      <c r="BQ59">
        <f t="shared" si="54"/>
        <v>2</v>
      </c>
      <c r="BR59">
        <f t="shared" si="55"/>
        <v>1</v>
      </c>
      <c r="BS59">
        <f t="shared" si="56"/>
        <v>3</v>
      </c>
      <c r="BT59">
        <f t="shared" si="57"/>
        <v>1</v>
      </c>
      <c r="BU59">
        <f t="shared" si="58"/>
        <v>0</v>
      </c>
      <c r="BV59">
        <f t="shared" si="59"/>
        <v>0</v>
      </c>
      <c r="BW59">
        <f t="shared" si="60"/>
        <v>0</v>
      </c>
      <c r="BX59">
        <f t="shared" si="61"/>
        <v>0</v>
      </c>
      <c r="BY59">
        <f t="shared" si="62"/>
        <v>0</v>
      </c>
      <c r="BZ59">
        <f t="shared" si="63"/>
        <v>0</v>
      </c>
      <c r="CA59">
        <f t="shared" si="64"/>
        <v>0</v>
      </c>
      <c r="CB59">
        <f t="shared" si="65"/>
        <v>0</v>
      </c>
      <c r="CC59">
        <f t="shared" si="66"/>
        <v>0</v>
      </c>
      <c r="CE59" t="str">
        <f t="shared" si="67"/>
        <v>047</v>
      </c>
      <c r="CF59" t="str">
        <f t="shared" si="159"/>
        <v>00</v>
      </c>
      <c r="CG59" t="str">
        <f t="shared" si="159"/>
        <v>00</v>
      </c>
      <c r="CH59" t="str">
        <f t="shared" si="159"/>
        <v>00</v>
      </c>
      <c r="CI59" t="str">
        <f t="shared" si="69"/>
        <v>01</v>
      </c>
      <c r="CJ59" t="str">
        <f t="shared" si="70"/>
        <v>04</v>
      </c>
      <c r="CK59" t="str">
        <f t="shared" si="71"/>
        <v>02</v>
      </c>
      <c r="CL59" t="str">
        <f t="shared" si="72"/>
        <v>02</v>
      </c>
      <c r="CM59" t="str">
        <f t="shared" si="73"/>
        <v>02</v>
      </c>
      <c r="CN59" t="str">
        <f t="shared" si="74"/>
        <v>02</v>
      </c>
      <c r="CO59" t="str">
        <f t="shared" si="75"/>
        <v>02</v>
      </c>
      <c r="CP59" t="str">
        <f t="shared" si="76"/>
        <v>01</v>
      </c>
      <c r="CQ59" t="str">
        <f t="shared" si="77"/>
        <v>03</v>
      </c>
      <c r="CR59" t="str">
        <f t="shared" si="78"/>
        <v>01</v>
      </c>
      <c r="CS59" t="str">
        <f t="shared" si="79"/>
        <v>00</v>
      </c>
      <c r="CT59" t="str">
        <f t="shared" si="80"/>
        <v>00</v>
      </c>
      <c r="CU59" t="str">
        <f t="shared" si="81"/>
        <v>00</v>
      </c>
      <c r="CV59" t="str">
        <f t="shared" si="82"/>
        <v>00</v>
      </c>
      <c r="CW59" t="str">
        <f t="shared" si="83"/>
        <v>00</v>
      </c>
      <c r="CX59" t="str">
        <f t="shared" si="84"/>
        <v>00</v>
      </c>
      <c r="CY59" t="str">
        <f t="shared" si="85"/>
        <v>00</v>
      </c>
      <c r="CZ59" t="str">
        <f t="shared" si="86"/>
        <v>00</v>
      </c>
      <c r="DA59" t="str">
        <f t="shared" si="87"/>
        <v>00</v>
      </c>
      <c r="DB59" t="str">
        <f t="shared" si="88"/>
        <v>10</v>
      </c>
      <c r="DC59" t="str">
        <f t="shared" si="89"/>
        <v>0104020202020201030100000000000000000010</v>
      </c>
      <c r="DD59" t="str">
        <f t="shared" si="90"/>
        <v>Request lama giler batal</v>
      </c>
      <c r="DE59" t="s">
        <v>166</v>
      </c>
      <c r="DF59" t="s">
        <v>223</v>
      </c>
      <c r="DG59" t="s">
        <v>224</v>
      </c>
      <c r="DH59" t="s">
        <v>225</v>
      </c>
      <c r="DI59" t="s">
        <v>226</v>
      </c>
      <c r="DJ59" t="s">
        <v>227</v>
      </c>
      <c r="DK59" t="s">
        <v>228</v>
      </c>
      <c r="DL59" t="str">
        <f t="shared" si="91"/>
        <v>047,00,00,00,01,04,02,02,02,02,02,01,03,01,00,00,00,00,00,00,00,00,00,10,0104020202020201030100000000000000000010,Request lama giler batal,file47,Blk1,Blk2,Blk3,Blk4,Blk5,Blk6</v>
      </c>
    </row>
    <row r="60" spans="2:116" x14ac:dyDescent="0.25">
      <c r="B60">
        <f t="shared" si="92"/>
        <v>48</v>
      </c>
      <c r="L60" t="s">
        <v>61</v>
      </c>
      <c r="W60">
        <f t="shared" si="115"/>
        <v>0</v>
      </c>
      <c r="X60">
        <f t="shared" si="116"/>
        <v>0</v>
      </c>
      <c r="Y60">
        <f t="shared" si="117"/>
        <v>0</v>
      </c>
      <c r="Z60">
        <f t="shared" si="118"/>
        <v>0</v>
      </c>
      <c r="AA60">
        <f t="shared" si="119"/>
        <v>0</v>
      </c>
      <c r="AB60">
        <f t="shared" si="120"/>
        <v>0</v>
      </c>
      <c r="AC60">
        <f t="shared" si="121"/>
        <v>0</v>
      </c>
      <c r="AD60">
        <f t="shared" si="122"/>
        <v>0</v>
      </c>
      <c r="AE60">
        <f t="shared" si="123"/>
        <v>0</v>
      </c>
      <c r="AF60">
        <f t="shared" si="124"/>
        <v>1</v>
      </c>
      <c r="AG60">
        <f t="shared" si="125"/>
        <v>0</v>
      </c>
      <c r="AH60">
        <f t="shared" si="126"/>
        <v>0</v>
      </c>
      <c r="AI60">
        <f t="shared" si="127"/>
        <v>0</v>
      </c>
      <c r="AJ60">
        <f t="shared" si="128"/>
        <v>0</v>
      </c>
      <c r="AK60">
        <f t="shared" si="129"/>
        <v>0</v>
      </c>
      <c r="AL60">
        <f t="shared" si="130"/>
        <v>0</v>
      </c>
      <c r="AM60">
        <f t="shared" si="131"/>
        <v>0</v>
      </c>
      <c r="AN60">
        <f t="shared" si="132"/>
        <v>0</v>
      </c>
      <c r="AO60">
        <f t="shared" si="133"/>
        <v>0</v>
      </c>
      <c r="AP60" s="2" t="str">
        <f t="shared" si="46"/>
        <v/>
      </c>
      <c r="AQ60" t="str">
        <f t="shared" si="140"/>
        <v>S</v>
      </c>
      <c r="AR60" t="str">
        <f t="shared" si="141"/>
        <v>S</v>
      </c>
      <c r="AS60" t="str">
        <f t="shared" si="142"/>
        <v>S</v>
      </c>
      <c r="AT60" t="str">
        <f t="shared" si="143"/>
        <v>S</v>
      </c>
      <c r="AU60" t="str">
        <f t="shared" si="144"/>
        <v>S</v>
      </c>
      <c r="AV60" t="str">
        <f t="shared" si="145"/>
        <v>S</v>
      </c>
      <c r="AW60" t="str">
        <f t="shared" si="146"/>
        <v>S</v>
      </c>
      <c r="AX60" t="str">
        <f t="shared" si="147"/>
        <v>S</v>
      </c>
      <c r="AY60" t="str">
        <f t="shared" si="148"/>
        <v>S</v>
      </c>
      <c r="AZ60" t="str">
        <f t="shared" si="149"/>
        <v>+</v>
      </c>
      <c r="BA60" t="str">
        <f t="shared" si="150"/>
        <v/>
      </c>
      <c r="BB60" t="str">
        <f t="shared" si="151"/>
        <v/>
      </c>
      <c r="BC60" t="str">
        <f t="shared" si="152"/>
        <v/>
      </c>
      <c r="BD60" t="str">
        <f t="shared" si="153"/>
        <v/>
      </c>
      <c r="BE60" t="str">
        <f t="shared" si="154"/>
        <v/>
      </c>
      <c r="BF60" t="str">
        <f t="shared" si="155"/>
        <v/>
      </c>
      <c r="BG60" t="str">
        <f t="shared" si="156"/>
        <v/>
      </c>
      <c r="BH60" t="str">
        <f t="shared" si="157"/>
        <v/>
      </c>
      <c r="BI60" t="str">
        <f t="shared" si="158"/>
        <v/>
      </c>
      <c r="BK60">
        <f t="shared" si="48"/>
        <v>1</v>
      </c>
      <c r="BL60">
        <f t="shared" si="49"/>
        <v>4</v>
      </c>
      <c r="BM60">
        <f t="shared" si="50"/>
        <v>2</v>
      </c>
      <c r="BN60">
        <f t="shared" si="51"/>
        <v>2</v>
      </c>
      <c r="BO60">
        <f t="shared" si="52"/>
        <v>2</v>
      </c>
      <c r="BP60">
        <f t="shared" si="53"/>
        <v>2</v>
      </c>
      <c r="BQ60">
        <f t="shared" si="54"/>
        <v>2</v>
      </c>
      <c r="BR60">
        <f t="shared" si="55"/>
        <v>1</v>
      </c>
      <c r="BS60">
        <f t="shared" si="56"/>
        <v>3</v>
      </c>
      <c r="BT60">
        <f t="shared" si="57"/>
        <v>2</v>
      </c>
      <c r="BU60">
        <f t="shared" si="58"/>
        <v>0</v>
      </c>
      <c r="BV60">
        <f t="shared" si="59"/>
        <v>0</v>
      </c>
      <c r="BW60">
        <f t="shared" si="60"/>
        <v>0</v>
      </c>
      <c r="BX60">
        <f t="shared" si="61"/>
        <v>0</v>
      </c>
      <c r="BY60">
        <f t="shared" si="62"/>
        <v>0</v>
      </c>
      <c r="BZ60">
        <f t="shared" si="63"/>
        <v>0</v>
      </c>
      <c r="CA60">
        <f t="shared" si="64"/>
        <v>0</v>
      </c>
      <c r="CB60">
        <f t="shared" si="65"/>
        <v>0</v>
      </c>
      <c r="CC60">
        <f t="shared" si="66"/>
        <v>0</v>
      </c>
      <c r="CE60" t="str">
        <f t="shared" si="67"/>
        <v>048</v>
      </c>
      <c r="CF60" t="str">
        <f t="shared" si="159"/>
        <v>00</v>
      </c>
      <c r="CG60" t="str">
        <f t="shared" si="159"/>
        <v>00</v>
      </c>
      <c r="CH60" t="str">
        <f t="shared" si="159"/>
        <v>00</v>
      </c>
      <c r="CI60" t="str">
        <f t="shared" si="69"/>
        <v>01</v>
      </c>
      <c r="CJ60" t="str">
        <f t="shared" si="70"/>
        <v>04</v>
      </c>
      <c r="CK60" t="str">
        <f t="shared" si="71"/>
        <v>02</v>
      </c>
      <c r="CL60" t="str">
        <f t="shared" si="72"/>
        <v>02</v>
      </c>
      <c r="CM60" t="str">
        <f t="shared" si="73"/>
        <v>02</v>
      </c>
      <c r="CN60" t="str">
        <f t="shared" si="74"/>
        <v>02</v>
      </c>
      <c r="CO60" t="str">
        <f t="shared" si="75"/>
        <v>02</v>
      </c>
      <c r="CP60" t="str">
        <f t="shared" si="76"/>
        <v>01</v>
      </c>
      <c r="CQ60" t="str">
        <f t="shared" si="77"/>
        <v>03</v>
      </c>
      <c r="CR60" t="str">
        <f t="shared" si="78"/>
        <v>02</v>
      </c>
      <c r="CS60" t="str">
        <f t="shared" si="79"/>
        <v>00</v>
      </c>
      <c r="CT60" t="str">
        <f t="shared" si="80"/>
        <v>00</v>
      </c>
      <c r="CU60" t="str">
        <f t="shared" si="81"/>
        <v>00</v>
      </c>
      <c r="CV60" t="str">
        <f t="shared" si="82"/>
        <v>00</v>
      </c>
      <c r="CW60" t="str">
        <f t="shared" si="83"/>
        <v>00</v>
      </c>
      <c r="CX60" t="str">
        <f t="shared" si="84"/>
        <v>00</v>
      </c>
      <c r="CY60" t="str">
        <f t="shared" si="85"/>
        <v>00</v>
      </c>
      <c r="CZ60" t="str">
        <f t="shared" si="86"/>
        <v>00</v>
      </c>
      <c r="DA60" t="str">
        <f t="shared" si="87"/>
        <v>00</v>
      </c>
      <c r="DB60" t="str">
        <f t="shared" si="88"/>
        <v>10</v>
      </c>
      <c r="DC60" t="str">
        <f t="shared" si="89"/>
        <v>0104020202020201030200000000000000000010</v>
      </c>
      <c r="DD60" t="str">
        <f t="shared" si="90"/>
        <v>Request lama giler tak batal</v>
      </c>
      <c r="DE60" t="s">
        <v>167</v>
      </c>
      <c r="DF60" t="s">
        <v>223</v>
      </c>
      <c r="DG60" t="s">
        <v>224</v>
      </c>
      <c r="DH60" t="s">
        <v>225</v>
      </c>
      <c r="DI60" t="s">
        <v>226</v>
      </c>
      <c r="DJ60" t="s">
        <v>227</v>
      </c>
      <c r="DK60" t="s">
        <v>228</v>
      </c>
      <c r="DL60" t="str">
        <f t="shared" si="91"/>
        <v>048,00,00,00,01,04,02,02,02,02,02,01,03,02,00,00,00,00,00,00,00,00,00,10,0104020202020201030200000000000000000010,Request lama giler tak batal,file48,Blk1,Blk2,Blk3,Blk4,Blk5,Blk6</v>
      </c>
    </row>
    <row r="61" spans="2:116" x14ac:dyDescent="0.25">
      <c r="B61">
        <f t="shared" si="92"/>
        <v>49</v>
      </c>
      <c r="K61" t="s">
        <v>62</v>
      </c>
      <c r="W61">
        <f t="shared" si="115"/>
        <v>0</v>
      </c>
      <c r="X61">
        <f t="shared" si="116"/>
        <v>0</v>
      </c>
      <c r="Y61">
        <f t="shared" si="117"/>
        <v>0</v>
      </c>
      <c r="Z61">
        <f t="shared" si="118"/>
        <v>0</v>
      </c>
      <c r="AA61">
        <f t="shared" si="119"/>
        <v>0</v>
      </c>
      <c r="AB61">
        <f t="shared" si="120"/>
        <v>0</v>
      </c>
      <c r="AC61">
        <f t="shared" si="121"/>
        <v>0</v>
      </c>
      <c r="AD61">
        <f t="shared" si="122"/>
        <v>0</v>
      </c>
      <c r="AE61">
        <f t="shared" si="123"/>
        <v>1</v>
      </c>
      <c r="AF61">
        <f t="shared" si="124"/>
        <v>0</v>
      </c>
      <c r="AG61">
        <f t="shared" si="125"/>
        <v>0</v>
      </c>
      <c r="AH61">
        <f t="shared" si="126"/>
        <v>0</v>
      </c>
      <c r="AI61">
        <f t="shared" si="127"/>
        <v>0</v>
      </c>
      <c r="AJ61">
        <f t="shared" si="128"/>
        <v>0</v>
      </c>
      <c r="AK61">
        <f t="shared" si="129"/>
        <v>0</v>
      </c>
      <c r="AL61">
        <f t="shared" si="130"/>
        <v>0</v>
      </c>
      <c r="AM61">
        <f t="shared" si="131"/>
        <v>0</v>
      </c>
      <c r="AN61">
        <f t="shared" si="132"/>
        <v>0</v>
      </c>
      <c r="AO61">
        <f t="shared" si="133"/>
        <v>0</v>
      </c>
      <c r="AP61" s="2" t="str">
        <f t="shared" si="46"/>
        <v/>
      </c>
      <c r="AQ61" t="str">
        <f t="shared" si="140"/>
        <v>S</v>
      </c>
      <c r="AR61" t="str">
        <f t="shared" si="141"/>
        <v>S</v>
      </c>
      <c r="AS61" t="str">
        <f t="shared" si="142"/>
        <v>S</v>
      </c>
      <c r="AT61" t="str">
        <f t="shared" si="143"/>
        <v>S</v>
      </c>
      <c r="AU61" t="str">
        <f t="shared" si="144"/>
        <v>S</v>
      </c>
      <c r="AV61" t="str">
        <f t="shared" si="145"/>
        <v>S</v>
      </c>
      <c r="AW61" t="str">
        <f t="shared" si="146"/>
        <v>S</v>
      </c>
      <c r="AX61" t="str">
        <f t="shared" si="147"/>
        <v>S</v>
      </c>
      <c r="AY61" t="str">
        <f t="shared" si="148"/>
        <v>+</v>
      </c>
      <c r="AZ61" t="str">
        <f t="shared" si="149"/>
        <v/>
      </c>
      <c r="BA61" t="str">
        <f t="shared" si="150"/>
        <v/>
      </c>
      <c r="BB61" t="str">
        <f t="shared" si="151"/>
        <v/>
      </c>
      <c r="BC61" t="str">
        <f t="shared" si="152"/>
        <v/>
      </c>
      <c r="BD61" t="str">
        <f t="shared" si="153"/>
        <v/>
      </c>
      <c r="BE61" t="str">
        <f t="shared" si="154"/>
        <v/>
      </c>
      <c r="BF61" t="str">
        <f t="shared" si="155"/>
        <v/>
      </c>
      <c r="BG61" t="str">
        <f t="shared" si="156"/>
        <v/>
      </c>
      <c r="BH61" t="str">
        <f t="shared" si="157"/>
        <v/>
      </c>
      <c r="BI61" t="str">
        <f t="shared" si="158"/>
        <v/>
      </c>
      <c r="BK61">
        <f t="shared" si="48"/>
        <v>1</v>
      </c>
      <c r="BL61">
        <f t="shared" si="49"/>
        <v>4</v>
      </c>
      <c r="BM61">
        <f t="shared" si="50"/>
        <v>2</v>
      </c>
      <c r="BN61">
        <f t="shared" si="51"/>
        <v>2</v>
      </c>
      <c r="BO61">
        <f t="shared" si="52"/>
        <v>2</v>
      </c>
      <c r="BP61">
        <f t="shared" si="53"/>
        <v>2</v>
      </c>
      <c r="BQ61">
        <f t="shared" si="54"/>
        <v>2</v>
      </c>
      <c r="BR61">
        <f t="shared" si="55"/>
        <v>1</v>
      </c>
      <c r="BS61">
        <f t="shared" si="56"/>
        <v>4</v>
      </c>
      <c r="BT61">
        <f t="shared" si="57"/>
        <v>0</v>
      </c>
      <c r="BU61">
        <f t="shared" si="58"/>
        <v>0</v>
      </c>
      <c r="BV61">
        <f t="shared" si="59"/>
        <v>0</v>
      </c>
      <c r="BW61">
        <f t="shared" si="60"/>
        <v>0</v>
      </c>
      <c r="BX61">
        <f t="shared" si="61"/>
        <v>0</v>
      </c>
      <c r="BY61">
        <f t="shared" si="62"/>
        <v>0</v>
      </c>
      <c r="BZ61">
        <f t="shared" si="63"/>
        <v>0</v>
      </c>
      <c r="CA61">
        <f t="shared" si="64"/>
        <v>0</v>
      </c>
      <c r="CB61">
        <f t="shared" si="65"/>
        <v>0</v>
      </c>
      <c r="CC61">
        <f t="shared" si="66"/>
        <v>0</v>
      </c>
      <c r="CE61" t="str">
        <f t="shared" si="67"/>
        <v>049</v>
      </c>
      <c r="CF61" t="str">
        <f t="shared" si="159"/>
        <v>00</v>
      </c>
      <c r="CG61" t="str">
        <f t="shared" si="159"/>
        <v>00</v>
      </c>
      <c r="CH61" t="str">
        <f t="shared" si="159"/>
        <v>00</v>
      </c>
      <c r="CI61" t="str">
        <f t="shared" si="69"/>
        <v>01</v>
      </c>
      <c r="CJ61" t="str">
        <f t="shared" si="70"/>
        <v>04</v>
      </c>
      <c r="CK61" t="str">
        <f t="shared" si="71"/>
        <v>02</v>
      </c>
      <c r="CL61" t="str">
        <f t="shared" si="72"/>
        <v>02</v>
      </c>
      <c r="CM61" t="str">
        <f t="shared" si="73"/>
        <v>02</v>
      </c>
      <c r="CN61" t="str">
        <f t="shared" si="74"/>
        <v>02</v>
      </c>
      <c r="CO61" t="str">
        <f t="shared" si="75"/>
        <v>02</v>
      </c>
      <c r="CP61" t="str">
        <f t="shared" si="76"/>
        <v>01</v>
      </c>
      <c r="CQ61" t="str">
        <f t="shared" si="77"/>
        <v>04</v>
      </c>
      <c r="CR61" t="str">
        <f t="shared" si="78"/>
        <v>00</v>
      </c>
      <c r="CS61" t="str">
        <f t="shared" si="79"/>
        <v>00</v>
      </c>
      <c r="CT61" t="str">
        <f t="shared" si="80"/>
        <v>00</v>
      </c>
      <c r="CU61" t="str">
        <f t="shared" si="81"/>
        <v>00</v>
      </c>
      <c r="CV61" t="str">
        <f t="shared" si="82"/>
        <v>00</v>
      </c>
      <c r="CW61" t="str">
        <f t="shared" si="83"/>
        <v>00</v>
      </c>
      <c r="CX61" t="str">
        <f t="shared" si="84"/>
        <v>00</v>
      </c>
      <c r="CY61" t="str">
        <f t="shared" si="85"/>
        <v>00</v>
      </c>
      <c r="CZ61" t="str">
        <f t="shared" si="86"/>
        <v>00</v>
      </c>
      <c r="DA61" t="str">
        <f t="shared" si="87"/>
        <v>00</v>
      </c>
      <c r="DB61" t="str">
        <f t="shared" si="88"/>
        <v>09</v>
      </c>
      <c r="DC61" t="str">
        <f t="shared" si="89"/>
        <v>0104020202020201040000000000000000000009</v>
      </c>
      <c r="DD61" t="str">
        <f t="shared" si="90"/>
        <v>Request lama giler B</v>
      </c>
      <c r="DE61" t="s">
        <v>168</v>
      </c>
      <c r="DF61" t="s">
        <v>223</v>
      </c>
      <c r="DG61" t="s">
        <v>224</v>
      </c>
      <c r="DH61" t="s">
        <v>225</v>
      </c>
      <c r="DI61" t="s">
        <v>226</v>
      </c>
      <c r="DJ61" t="s">
        <v>227</v>
      </c>
      <c r="DK61" t="s">
        <v>228</v>
      </c>
      <c r="DL61" t="str">
        <f t="shared" si="91"/>
        <v>049,00,00,00,01,04,02,02,02,02,02,01,04,00,00,00,00,00,00,00,00,00,00,09,0104020202020201040000000000000000000009,Request lama giler B,file49,Blk1,Blk2,Blk3,Blk4,Blk5,Blk6</v>
      </c>
    </row>
    <row r="62" spans="2:116" x14ac:dyDescent="0.25">
      <c r="B62">
        <f t="shared" si="92"/>
        <v>50</v>
      </c>
      <c r="K62" t="s">
        <v>63</v>
      </c>
      <c r="W62">
        <f t="shared" si="115"/>
        <v>0</v>
      </c>
      <c r="X62">
        <f t="shared" si="116"/>
        <v>0</v>
      </c>
      <c r="Y62">
        <f t="shared" si="117"/>
        <v>0</v>
      </c>
      <c r="Z62">
        <f t="shared" si="118"/>
        <v>0</v>
      </c>
      <c r="AA62">
        <f t="shared" si="119"/>
        <v>0</v>
      </c>
      <c r="AB62">
        <f t="shared" si="120"/>
        <v>0</v>
      </c>
      <c r="AC62">
        <f t="shared" si="121"/>
        <v>0</v>
      </c>
      <c r="AD62">
        <f t="shared" si="122"/>
        <v>0</v>
      </c>
      <c r="AE62">
        <f t="shared" si="123"/>
        <v>1</v>
      </c>
      <c r="AF62">
        <f t="shared" si="124"/>
        <v>0</v>
      </c>
      <c r="AG62">
        <f t="shared" si="125"/>
        <v>0</v>
      </c>
      <c r="AH62">
        <f t="shared" si="126"/>
        <v>0</v>
      </c>
      <c r="AI62">
        <f t="shared" si="127"/>
        <v>0</v>
      </c>
      <c r="AJ62">
        <f t="shared" si="128"/>
        <v>0</v>
      </c>
      <c r="AK62">
        <f t="shared" si="129"/>
        <v>0</v>
      </c>
      <c r="AL62">
        <f t="shared" si="130"/>
        <v>0</v>
      </c>
      <c r="AM62">
        <f t="shared" si="131"/>
        <v>0</v>
      </c>
      <c r="AN62">
        <f t="shared" si="132"/>
        <v>0</v>
      </c>
      <c r="AO62">
        <f t="shared" si="133"/>
        <v>0</v>
      </c>
      <c r="AP62" s="2" t="str">
        <f t="shared" si="46"/>
        <v/>
      </c>
      <c r="AQ62" t="str">
        <f t="shared" si="140"/>
        <v>S</v>
      </c>
      <c r="AR62" t="str">
        <f t="shared" si="141"/>
        <v>S</v>
      </c>
      <c r="AS62" t="str">
        <f t="shared" si="142"/>
        <v>S</v>
      </c>
      <c r="AT62" t="str">
        <f t="shared" si="143"/>
        <v>S</v>
      </c>
      <c r="AU62" t="str">
        <f t="shared" si="144"/>
        <v>S</v>
      </c>
      <c r="AV62" t="str">
        <f t="shared" si="145"/>
        <v>S</v>
      </c>
      <c r="AW62" t="str">
        <f t="shared" si="146"/>
        <v>S</v>
      </c>
      <c r="AX62" t="str">
        <f t="shared" si="147"/>
        <v>S</v>
      </c>
      <c r="AY62" t="str">
        <f t="shared" si="148"/>
        <v>+</v>
      </c>
      <c r="AZ62" t="str">
        <f t="shared" si="149"/>
        <v/>
      </c>
      <c r="BA62" t="str">
        <f t="shared" si="150"/>
        <v/>
      </c>
      <c r="BB62" t="str">
        <f t="shared" si="151"/>
        <v/>
      </c>
      <c r="BC62" t="str">
        <f t="shared" si="152"/>
        <v/>
      </c>
      <c r="BD62" t="str">
        <f t="shared" si="153"/>
        <v/>
      </c>
      <c r="BE62" t="str">
        <f t="shared" si="154"/>
        <v/>
      </c>
      <c r="BF62" t="str">
        <f t="shared" si="155"/>
        <v/>
      </c>
      <c r="BG62" t="str">
        <f t="shared" si="156"/>
        <v/>
      </c>
      <c r="BH62" t="str">
        <f t="shared" si="157"/>
        <v/>
      </c>
      <c r="BI62" t="str">
        <f t="shared" si="158"/>
        <v/>
      </c>
      <c r="BK62">
        <f t="shared" si="48"/>
        <v>1</v>
      </c>
      <c r="BL62">
        <f t="shared" si="49"/>
        <v>4</v>
      </c>
      <c r="BM62">
        <f t="shared" si="50"/>
        <v>2</v>
      </c>
      <c r="BN62">
        <f t="shared" si="51"/>
        <v>2</v>
      </c>
      <c r="BO62">
        <f t="shared" si="52"/>
        <v>2</v>
      </c>
      <c r="BP62">
        <f t="shared" si="53"/>
        <v>2</v>
      </c>
      <c r="BQ62">
        <f t="shared" si="54"/>
        <v>2</v>
      </c>
      <c r="BR62">
        <f t="shared" si="55"/>
        <v>1</v>
      </c>
      <c r="BS62">
        <f t="shared" si="56"/>
        <v>5</v>
      </c>
      <c r="BT62">
        <f t="shared" si="57"/>
        <v>0</v>
      </c>
      <c r="BU62">
        <f t="shared" si="58"/>
        <v>0</v>
      </c>
      <c r="BV62">
        <f t="shared" si="59"/>
        <v>0</v>
      </c>
      <c r="BW62">
        <f t="shared" si="60"/>
        <v>0</v>
      </c>
      <c r="BX62">
        <f t="shared" si="61"/>
        <v>0</v>
      </c>
      <c r="BY62">
        <f t="shared" si="62"/>
        <v>0</v>
      </c>
      <c r="BZ62">
        <f t="shared" si="63"/>
        <v>0</v>
      </c>
      <c r="CA62">
        <f t="shared" si="64"/>
        <v>0</v>
      </c>
      <c r="CB62">
        <f t="shared" si="65"/>
        <v>0</v>
      </c>
      <c r="CC62">
        <f t="shared" si="66"/>
        <v>0</v>
      </c>
      <c r="CE62" t="str">
        <f t="shared" si="67"/>
        <v>050</v>
      </c>
      <c r="CF62" t="str">
        <f t="shared" si="159"/>
        <v>00</v>
      </c>
      <c r="CG62" t="str">
        <f t="shared" si="159"/>
        <v>00</v>
      </c>
      <c r="CH62" t="str">
        <f t="shared" si="159"/>
        <v>00</v>
      </c>
      <c r="CI62" t="str">
        <f t="shared" si="69"/>
        <v>01</v>
      </c>
      <c r="CJ62" t="str">
        <f t="shared" si="70"/>
        <v>04</v>
      </c>
      <c r="CK62" t="str">
        <f t="shared" si="71"/>
        <v>02</v>
      </c>
      <c r="CL62" t="str">
        <f t="shared" si="72"/>
        <v>02</v>
      </c>
      <c r="CM62" t="str">
        <f t="shared" si="73"/>
        <v>02</v>
      </c>
      <c r="CN62" t="str">
        <f t="shared" si="74"/>
        <v>02</v>
      </c>
      <c r="CO62" t="str">
        <f t="shared" si="75"/>
        <v>02</v>
      </c>
      <c r="CP62" t="str">
        <f t="shared" si="76"/>
        <v>01</v>
      </c>
      <c r="CQ62" t="str">
        <f t="shared" si="77"/>
        <v>05</v>
      </c>
      <c r="CR62" t="str">
        <f t="shared" si="78"/>
        <v>00</v>
      </c>
      <c r="CS62" t="str">
        <f t="shared" si="79"/>
        <v>00</v>
      </c>
      <c r="CT62" t="str">
        <f t="shared" si="80"/>
        <v>00</v>
      </c>
      <c r="CU62" t="str">
        <f t="shared" si="81"/>
        <v>00</v>
      </c>
      <c r="CV62" t="str">
        <f t="shared" si="82"/>
        <v>00</v>
      </c>
      <c r="CW62" t="str">
        <f t="shared" si="83"/>
        <v>00</v>
      </c>
      <c r="CX62" t="str">
        <f t="shared" si="84"/>
        <v>00</v>
      </c>
      <c r="CY62" t="str">
        <f t="shared" si="85"/>
        <v>00</v>
      </c>
      <c r="CZ62" t="str">
        <f t="shared" si="86"/>
        <v>00</v>
      </c>
      <c r="DA62" t="str">
        <f t="shared" si="87"/>
        <v>00</v>
      </c>
      <c r="DB62" t="str">
        <f t="shared" si="88"/>
        <v>09</v>
      </c>
      <c r="DC62" t="str">
        <f t="shared" si="89"/>
        <v>0104020202020201050000000000000000000009</v>
      </c>
      <c r="DD62" t="str">
        <f t="shared" si="90"/>
        <v>Request lama giler C</v>
      </c>
      <c r="DE62" t="s">
        <v>169</v>
      </c>
      <c r="DF62" t="s">
        <v>223</v>
      </c>
      <c r="DG62" t="s">
        <v>224</v>
      </c>
      <c r="DH62" t="s">
        <v>225</v>
      </c>
      <c r="DI62" t="s">
        <v>226</v>
      </c>
      <c r="DJ62" t="s">
        <v>227</v>
      </c>
      <c r="DK62" t="s">
        <v>228</v>
      </c>
      <c r="DL62" t="str">
        <f t="shared" si="91"/>
        <v>050,00,00,00,01,04,02,02,02,02,02,01,05,00,00,00,00,00,00,00,00,00,00,09,0104020202020201050000000000000000000009,Request lama giler C,file50,Blk1,Blk2,Blk3,Blk4,Blk5,Blk6</v>
      </c>
    </row>
    <row r="63" spans="2:116" x14ac:dyDescent="0.25">
      <c r="B63">
        <f t="shared" si="92"/>
        <v>51</v>
      </c>
      <c r="J63" t="s">
        <v>64</v>
      </c>
      <c r="W63">
        <f t="shared" si="115"/>
        <v>0</v>
      </c>
      <c r="X63">
        <f t="shared" si="116"/>
        <v>0</v>
      </c>
      <c r="Y63">
        <f t="shared" si="117"/>
        <v>0</v>
      </c>
      <c r="Z63">
        <f t="shared" si="118"/>
        <v>0</v>
      </c>
      <c r="AA63">
        <f t="shared" si="119"/>
        <v>0</v>
      </c>
      <c r="AB63">
        <f t="shared" si="120"/>
        <v>0</v>
      </c>
      <c r="AC63">
        <f t="shared" si="121"/>
        <v>0</v>
      </c>
      <c r="AD63">
        <f t="shared" si="122"/>
        <v>1</v>
      </c>
      <c r="AE63">
        <f t="shared" si="123"/>
        <v>0</v>
      </c>
      <c r="AF63">
        <f t="shared" si="124"/>
        <v>0</v>
      </c>
      <c r="AG63">
        <f t="shared" si="125"/>
        <v>0</v>
      </c>
      <c r="AH63">
        <f t="shared" si="126"/>
        <v>0</v>
      </c>
      <c r="AI63">
        <f t="shared" si="127"/>
        <v>0</v>
      </c>
      <c r="AJ63">
        <f t="shared" si="128"/>
        <v>0</v>
      </c>
      <c r="AK63">
        <f t="shared" si="129"/>
        <v>0</v>
      </c>
      <c r="AL63">
        <f t="shared" si="130"/>
        <v>0</v>
      </c>
      <c r="AM63">
        <f t="shared" si="131"/>
        <v>0</v>
      </c>
      <c r="AN63">
        <f t="shared" si="132"/>
        <v>0</v>
      </c>
      <c r="AO63">
        <f t="shared" si="133"/>
        <v>0</v>
      </c>
      <c r="AP63" s="2" t="str">
        <f t="shared" si="46"/>
        <v/>
      </c>
      <c r="AQ63" t="str">
        <f t="shared" si="140"/>
        <v>S</v>
      </c>
      <c r="AR63" t="str">
        <f t="shared" si="141"/>
        <v>S</v>
      </c>
      <c r="AS63" t="str">
        <f t="shared" si="142"/>
        <v>S</v>
      </c>
      <c r="AT63" t="str">
        <f t="shared" si="143"/>
        <v>S</v>
      </c>
      <c r="AU63" t="str">
        <f t="shared" si="144"/>
        <v>S</v>
      </c>
      <c r="AV63" t="str">
        <f t="shared" si="145"/>
        <v>S</v>
      </c>
      <c r="AW63" t="str">
        <f t="shared" si="146"/>
        <v>S</v>
      </c>
      <c r="AX63" t="str">
        <f t="shared" si="147"/>
        <v>+</v>
      </c>
      <c r="AY63" t="str">
        <f t="shared" si="148"/>
        <v/>
      </c>
      <c r="AZ63" t="str">
        <f t="shared" si="149"/>
        <v/>
      </c>
      <c r="BA63" t="str">
        <f t="shared" si="150"/>
        <v/>
      </c>
      <c r="BB63" t="str">
        <f t="shared" si="151"/>
        <v/>
      </c>
      <c r="BC63" t="str">
        <f t="shared" si="152"/>
        <v/>
      </c>
      <c r="BD63" t="str">
        <f t="shared" si="153"/>
        <v/>
      </c>
      <c r="BE63" t="str">
        <f t="shared" si="154"/>
        <v/>
      </c>
      <c r="BF63" t="str">
        <f t="shared" si="155"/>
        <v/>
      </c>
      <c r="BG63" t="str">
        <f t="shared" si="156"/>
        <v/>
      </c>
      <c r="BH63" t="str">
        <f t="shared" si="157"/>
        <v/>
      </c>
      <c r="BI63" t="str">
        <f t="shared" si="158"/>
        <v/>
      </c>
      <c r="BK63">
        <f t="shared" si="48"/>
        <v>1</v>
      </c>
      <c r="BL63">
        <f t="shared" si="49"/>
        <v>4</v>
      </c>
      <c r="BM63">
        <f t="shared" si="50"/>
        <v>2</v>
      </c>
      <c r="BN63">
        <f t="shared" si="51"/>
        <v>2</v>
      </c>
      <c r="BO63">
        <f t="shared" si="52"/>
        <v>2</v>
      </c>
      <c r="BP63">
        <f t="shared" si="53"/>
        <v>2</v>
      </c>
      <c r="BQ63">
        <f t="shared" si="54"/>
        <v>2</v>
      </c>
      <c r="BR63">
        <f t="shared" si="55"/>
        <v>2</v>
      </c>
      <c r="BS63">
        <f t="shared" si="56"/>
        <v>0</v>
      </c>
      <c r="BT63">
        <f t="shared" si="57"/>
        <v>0</v>
      </c>
      <c r="BU63">
        <f t="shared" si="58"/>
        <v>0</v>
      </c>
      <c r="BV63">
        <f t="shared" si="59"/>
        <v>0</v>
      </c>
      <c r="BW63">
        <f t="shared" si="60"/>
        <v>0</v>
      </c>
      <c r="BX63">
        <f t="shared" si="61"/>
        <v>0</v>
      </c>
      <c r="BY63">
        <f t="shared" si="62"/>
        <v>0</v>
      </c>
      <c r="BZ63">
        <f t="shared" si="63"/>
        <v>0</v>
      </c>
      <c r="CA63">
        <f t="shared" si="64"/>
        <v>0</v>
      </c>
      <c r="CB63">
        <f t="shared" si="65"/>
        <v>0</v>
      </c>
      <c r="CC63">
        <f t="shared" si="66"/>
        <v>0</v>
      </c>
      <c r="CE63" t="str">
        <f t="shared" si="67"/>
        <v>051</v>
      </c>
      <c r="CF63" t="str">
        <f t="shared" si="159"/>
        <v>00</v>
      </c>
      <c r="CG63" t="str">
        <f t="shared" si="159"/>
        <v>00</v>
      </c>
      <c r="CH63" t="str">
        <f t="shared" si="159"/>
        <v>00</v>
      </c>
      <c r="CI63" t="str">
        <f t="shared" si="69"/>
        <v>01</v>
      </c>
      <c r="CJ63" t="str">
        <f t="shared" si="70"/>
        <v>04</v>
      </c>
      <c r="CK63" t="str">
        <f t="shared" si="71"/>
        <v>02</v>
      </c>
      <c r="CL63" t="str">
        <f t="shared" si="72"/>
        <v>02</v>
      </c>
      <c r="CM63" t="str">
        <f t="shared" si="73"/>
        <v>02</v>
      </c>
      <c r="CN63" t="str">
        <f t="shared" si="74"/>
        <v>02</v>
      </c>
      <c r="CO63" t="str">
        <f t="shared" si="75"/>
        <v>02</v>
      </c>
      <c r="CP63" t="str">
        <f t="shared" si="76"/>
        <v>02</v>
      </c>
      <c r="CQ63" t="str">
        <f t="shared" si="77"/>
        <v>00</v>
      </c>
      <c r="CR63" t="str">
        <f t="shared" si="78"/>
        <v>00</v>
      </c>
      <c r="CS63" t="str">
        <f t="shared" si="79"/>
        <v>00</v>
      </c>
      <c r="CT63" t="str">
        <f t="shared" si="80"/>
        <v>00</v>
      </c>
      <c r="CU63" t="str">
        <f t="shared" si="81"/>
        <v>00</v>
      </c>
      <c r="CV63" t="str">
        <f t="shared" si="82"/>
        <v>00</v>
      </c>
      <c r="CW63" t="str">
        <f t="shared" si="83"/>
        <v>00</v>
      </c>
      <c r="CX63" t="str">
        <f t="shared" si="84"/>
        <v>00</v>
      </c>
      <c r="CY63" t="str">
        <f t="shared" si="85"/>
        <v>00</v>
      </c>
      <c r="CZ63" t="str">
        <f t="shared" si="86"/>
        <v>00</v>
      </c>
      <c r="DA63" t="str">
        <f t="shared" si="87"/>
        <v>00</v>
      </c>
      <c r="DB63" t="str">
        <f t="shared" si="88"/>
        <v>08</v>
      </c>
      <c r="DC63" t="str">
        <f t="shared" si="89"/>
        <v>0104020202020202000000000000000000000008</v>
      </c>
      <c r="DD63" t="str">
        <f t="shared" si="90"/>
        <v>Request Jabatan 2 baru</v>
      </c>
      <c r="DE63" t="s">
        <v>170</v>
      </c>
      <c r="DF63" t="s">
        <v>223</v>
      </c>
      <c r="DG63" t="s">
        <v>224</v>
      </c>
      <c r="DH63" t="s">
        <v>225</v>
      </c>
      <c r="DI63" t="s">
        <v>226</v>
      </c>
      <c r="DJ63" t="s">
        <v>227</v>
      </c>
      <c r="DK63" t="s">
        <v>228</v>
      </c>
      <c r="DL63" t="str">
        <f t="shared" si="91"/>
        <v>051,00,00,00,01,04,02,02,02,02,02,02,00,00,00,00,00,00,00,00,00,00,00,08,0104020202020202000000000000000000000008,Request Jabatan 2 baru,file51,Blk1,Blk2,Blk3,Blk4,Blk5,Blk6</v>
      </c>
    </row>
    <row r="64" spans="2:116" x14ac:dyDescent="0.25">
      <c r="B64">
        <f t="shared" si="92"/>
        <v>52</v>
      </c>
      <c r="J64" t="s">
        <v>65</v>
      </c>
      <c r="W64">
        <f t="shared" si="115"/>
        <v>0</v>
      </c>
      <c r="X64">
        <f t="shared" si="116"/>
        <v>0</v>
      </c>
      <c r="Y64">
        <f t="shared" si="117"/>
        <v>0</v>
      </c>
      <c r="Z64">
        <f t="shared" si="118"/>
        <v>0</v>
      </c>
      <c r="AA64">
        <f t="shared" si="119"/>
        <v>0</v>
      </c>
      <c r="AB64">
        <f t="shared" si="120"/>
        <v>0</v>
      </c>
      <c r="AC64">
        <f t="shared" si="121"/>
        <v>0</v>
      </c>
      <c r="AD64">
        <f t="shared" si="122"/>
        <v>1</v>
      </c>
      <c r="AE64">
        <f t="shared" si="123"/>
        <v>0</v>
      </c>
      <c r="AF64">
        <f t="shared" si="124"/>
        <v>0</v>
      </c>
      <c r="AG64">
        <f t="shared" si="125"/>
        <v>0</v>
      </c>
      <c r="AH64">
        <f t="shared" si="126"/>
        <v>0</v>
      </c>
      <c r="AI64">
        <f t="shared" si="127"/>
        <v>0</v>
      </c>
      <c r="AJ64">
        <f t="shared" si="128"/>
        <v>0</v>
      </c>
      <c r="AK64">
        <f t="shared" si="129"/>
        <v>0</v>
      </c>
      <c r="AL64">
        <f t="shared" si="130"/>
        <v>0</v>
      </c>
      <c r="AM64">
        <f t="shared" si="131"/>
        <v>0</v>
      </c>
      <c r="AN64">
        <f t="shared" si="132"/>
        <v>0</v>
      </c>
      <c r="AO64">
        <f t="shared" si="133"/>
        <v>0</v>
      </c>
      <c r="AP64" s="2" t="str">
        <f t="shared" si="46"/>
        <v/>
      </c>
      <c r="AQ64" t="str">
        <f t="shared" si="140"/>
        <v>S</v>
      </c>
      <c r="AR64" t="str">
        <f t="shared" si="141"/>
        <v>S</v>
      </c>
      <c r="AS64" t="str">
        <f t="shared" si="142"/>
        <v>S</v>
      </c>
      <c r="AT64" t="str">
        <f t="shared" si="143"/>
        <v>S</v>
      </c>
      <c r="AU64" t="str">
        <f t="shared" si="144"/>
        <v>S</v>
      </c>
      <c r="AV64" t="str">
        <f t="shared" si="145"/>
        <v>S</v>
      </c>
      <c r="AW64" t="str">
        <f t="shared" si="146"/>
        <v>S</v>
      </c>
      <c r="AX64" t="str">
        <f t="shared" si="147"/>
        <v>+</v>
      </c>
      <c r="AY64" t="str">
        <f t="shared" si="148"/>
        <v/>
      </c>
      <c r="AZ64" t="str">
        <f t="shared" si="149"/>
        <v/>
      </c>
      <c r="BA64" t="str">
        <f t="shared" si="150"/>
        <v/>
      </c>
      <c r="BB64" t="str">
        <f t="shared" si="151"/>
        <v/>
      </c>
      <c r="BC64" t="str">
        <f t="shared" si="152"/>
        <v/>
      </c>
      <c r="BD64" t="str">
        <f t="shared" si="153"/>
        <v/>
      </c>
      <c r="BE64" t="str">
        <f t="shared" si="154"/>
        <v/>
      </c>
      <c r="BF64" t="str">
        <f t="shared" si="155"/>
        <v/>
      </c>
      <c r="BG64" t="str">
        <f t="shared" si="156"/>
        <v/>
      </c>
      <c r="BH64" t="str">
        <f t="shared" si="157"/>
        <v/>
      </c>
      <c r="BI64" t="str">
        <f t="shared" si="158"/>
        <v/>
      </c>
      <c r="BK64">
        <f t="shared" si="48"/>
        <v>1</v>
      </c>
      <c r="BL64">
        <f t="shared" si="49"/>
        <v>4</v>
      </c>
      <c r="BM64">
        <f t="shared" si="50"/>
        <v>2</v>
      </c>
      <c r="BN64">
        <f t="shared" si="51"/>
        <v>2</v>
      </c>
      <c r="BO64">
        <f t="shared" si="52"/>
        <v>2</v>
      </c>
      <c r="BP64">
        <f t="shared" si="53"/>
        <v>2</v>
      </c>
      <c r="BQ64">
        <f t="shared" si="54"/>
        <v>2</v>
      </c>
      <c r="BR64">
        <f t="shared" si="55"/>
        <v>3</v>
      </c>
      <c r="BS64">
        <f t="shared" si="56"/>
        <v>0</v>
      </c>
      <c r="BT64">
        <f t="shared" si="57"/>
        <v>0</v>
      </c>
      <c r="BU64">
        <f t="shared" si="58"/>
        <v>0</v>
      </c>
      <c r="BV64">
        <f t="shared" si="59"/>
        <v>0</v>
      </c>
      <c r="BW64">
        <f t="shared" si="60"/>
        <v>0</v>
      </c>
      <c r="BX64">
        <f t="shared" si="61"/>
        <v>0</v>
      </c>
      <c r="BY64">
        <f t="shared" si="62"/>
        <v>0</v>
      </c>
      <c r="BZ64">
        <f t="shared" si="63"/>
        <v>0</v>
      </c>
      <c r="CA64">
        <f t="shared" si="64"/>
        <v>0</v>
      </c>
      <c r="CB64">
        <f t="shared" si="65"/>
        <v>0</v>
      </c>
      <c r="CC64">
        <f t="shared" si="66"/>
        <v>0</v>
      </c>
      <c r="CE64" t="str">
        <f t="shared" si="67"/>
        <v>052</v>
      </c>
      <c r="CF64" t="str">
        <f t="shared" si="159"/>
        <v>00</v>
      </c>
      <c r="CG64" t="str">
        <f t="shared" si="159"/>
        <v>00</v>
      </c>
      <c r="CH64" t="str">
        <f t="shared" si="159"/>
        <v>00</v>
      </c>
      <c r="CI64" t="str">
        <f t="shared" si="69"/>
        <v>01</v>
      </c>
      <c r="CJ64" t="str">
        <f t="shared" si="70"/>
        <v>04</v>
      </c>
      <c r="CK64" t="str">
        <f t="shared" si="71"/>
        <v>02</v>
      </c>
      <c r="CL64" t="str">
        <f t="shared" si="72"/>
        <v>02</v>
      </c>
      <c r="CM64" t="str">
        <f t="shared" si="73"/>
        <v>02</v>
      </c>
      <c r="CN64" t="str">
        <f t="shared" si="74"/>
        <v>02</v>
      </c>
      <c r="CO64" t="str">
        <f t="shared" si="75"/>
        <v>02</v>
      </c>
      <c r="CP64" t="str">
        <f t="shared" si="76"/>
        <v>03</v>
      </c>
      <c r="CQ64" t="str">
        <f t="shared" si="77"/>
        <v>00</v>
      </c>
      <c r="CR64" t="str">
        <f t="shared" si="78"/>
        <v>00</v>
      </c>
      <c r="CS64" t="str">
        <f t="shared" si="79"/>
        <v>00</v>
      </c>
      <c r="CT64" t="str">
        <f t="shared" si="80"/>
        <v>00</v>
      </c>
      <c r="CU64" t="str">
        <f t="shared" si="81"/>
        <v>00</v>
      </c>
      <c r="CV64" t="str">
        <f t="shared" si="82"/>
        <v>00</v>
      </c>
      <c r="CW64" t="str">
        <f t="shared" si="83"/>
        <v>00</v>
      </c>
      <c r="CX64" t="str">
        <f t="shared" si="84"/>
        <v>00</v>
      </c>
      <c r="CY64" t="str">
        <f t="shared" si="85"/>
        <v>00</v>
      </c>
      <c r="CZ64" t="str">
        <f t="shared" si="86"/>
        <v>00</v>
      </c>
      <c r="DA64" t="str">
        <f t="shared" si="87"/>
        <v>00</v>
      </c>
      <c r="DB64" t="str">
        <f t="shared" si="88"/>
        <v>08</v>
      </c>
      <c r="DC64" t="str">
        <f t="shared" si="89"/>
        <v>0104020202020203000000000000000000000008</v>
      </c>
      <c r="DD64" t="str">
        <f t="shared" si="90"/>
        <v>Request Jabatan 2 sangat baru</v>
      </c>
      <c r="DE64" t="s">
        <v>171</v>
      </c>
      <c r="DF64" t="s">
        <v>223</v>
      </c>
      <c r="DG64" t="s">
        <v>224</v>
      </c>
      <c r="DH64" t="s">
        <v>225</v>
      </c>
      <c r="DI64" t="s">
        <v>226</v>
      </c>
      <c r="DJ64" t="s">
        <v>227</v>
      </c>
      <c r="DK64" t="s">
        <v>228</v>
      </c>
      <c r="DL64" t="str">
        <f t="shared" si="91"/>
        <v>052,00,00,00,01,04,02,02,02,02,02,03,00,00,00,00,00,00,00,00,00,00,00,08,0104020202020203000000000000000000000008,Request Jabatan 2 sangat baru,file52,Blk1,Blk2,Blk3,Blk4,Blk5,Blk6</v>
      </c>
    </row>
    <row r="65" spans="2:116" x14ac:dyDescent="0.25">
      <c r="B65">
        <f t="shared" si="92"/>
        <v>53</v>
      </c>
      <c r="J65" t="s">
        <v>66</v>
      </c>
      <c r="W65">
        <f t="shared" si="115"/>
        <v>0</v>
      </c>
      <c r="X65">
        <f t="shared" si="116"/>
        <v>0</v>
      </c>
      <c r="Y65">
        <f t="shared" si="117"/>
        <v>0</v>
      </c>
      <c r="Z65">
        <f t="shared" si="118"/>
        <v>0</v>
      </c>
      <c r="AA65">
        <f t="shared" si="119"/>
        <v>0</v>
      </c>
      <c r="AB65">
        <f t="shared" si="120"/>
        <v>0</v>
      </c>
      <c r="AC65">
        <f t="shared" si="121"/>
        <v>0</v>
      </c>
      <c r="AD65">
        <f t="shared" si="122"/>
        <v>1</v>
      </c>
      <c r="AE65">
        <f t="shared" si="123"/>
        <v>0</v>
      </c>
      <c r="AF65">
        <f t="shared" si="124"/>
        <v>0</v>
      </c>
      <c r="AG65">
        <f t="shared" si="125"/>
        <v>0</v>
      </c>
      <c r="AH65">
        <f t="shared" si="126"/>
        <v>0</v>
      </c>
      <c r="AI65">
        <f t="shared" si="127"/>
        <v>0</v>
      </c>
      <c r="AJ65">
        <f t="shared" si="128"/>
        <v>0</v>
      </c>
      <c r="AK65">
        <f t="shared" si="129"/>
        <v>0</v>
      </c>
      <c r="AL65">
        <f t="shared" si="130"/>
        <v>0</v>
      </c>
      <c r="AM65">
        <f t="shared" si="131"/>
        <v>0</v>
      </c>
      <c r="AN65">
        <f t="shared" si="132"/>
        <v>0</v>
      </c>
      <c r="AO65">
        <f t="shared" si="133"/>
        <v>0</v>
      </c>
      <c r="AP65" s="2" t="str">
        <f t="shared" si="46"/>
        <v/>
      </c>
      <c r="AQ65" t="str">
        <f t="shared" si="140"/>
        <v>S</v>
      </c>
      <c r="AR65" t="str">
        <f t="shared" si="141"/>
        <v>S</v>
      </c>
      <c r="AS65" t="str">
        <f t="shared" si="142"/>
        <v>S</v>
      </c>
      <c r="AT65" t="str">
        <f t="shared" si="143"/>
        <v>S</v>
      </c>
      <c r="AU65" t="str">
        <f t="shared" si="144"/>
        <v>S</v>
      </c>
      <c r="AV65" t="str">
        <f t="shared" si="145"/>
        <v>S</v>
      </c>
      <c r="AW65" t="str">
        <f t="shared" si="146"/>
        <v>S</v>
      </c>
      <c r="AX65" t="str">
        <f t="shared" si="147"/>
        <v>+</v>
      </c>
      <c r="AY65" t="str">
        <f t="shared" si="148"/>
        <v/>
      </c>
      <c r="AZ65" t="str">
        <f t="shared" si="149"/>
        <v/>
      </c>
      <c r="BA65" t="str">
        <f t="shared" si="150"/>
        <v/>
      </c>
      <c r="BB65" t="str">
        <f t="shared" si="151"/>
        <v/>
      </c>
      <c r="BC65" t="str">
        <f t="shared" si="152"/>
        <v/>
      </c>
      <c r="BD65" t="str">
        <f t="shared" si="153"/>
        <v/>
      </c>
      <c r="BE65" t="str">
        <f t="shared" si="154"/>
        <v/>
      </c>
      <c r="BF65" t="str">
        <f t="shared" si="155"/>
        <v/>
      </c>
      <c r="BG65" t="str">
        <f t="shared" si="156"/>
        <v/>
      </c>
      <c r="BH65" t="str">
        <f t="shared" si="157"/>
        <v/>
      </c>
      <c r="BI65" t="str">
        <f t="shared" si="158"/>
        <v/>
      </c>
      <c r="BK65">
        <f t="shared" si="48"/>
        <v>1</v>
      </c>
      <c r="BL65">
        <f t="shared" si="49"/>
        <v>4</v>
      </c>
      <c r="BM65">
        <f t="shared" si="50"/>
        <v>2</v>
      </c>
      <c r="BN65">
        <f t="shared" si="51"/>
        <v>2</v>
      </c>
      <c r="BO65">
        <f t="shared" si="52"/>
        <v>2</v>
      </c>
      <c r="BP65">
        <f t="shared" si="53"/>
        <v>2</v>
      </c>
      <c r="BQ65">
        <f t="shared" si="54"/>
        <v>2</v>
      </c>
      <c r="BR65">
        <f t="shared" si="55"/>
        <v>4</v>
      </c>
      <c r="BS65">
        <f t="shared" si="56"/>
        <v>0</v>
      </c>
      <c r="BT65">
        <f t="shared" si="57"/>
        <v>0</v>
      </c>
      <c r="BU65">
        <f t="shared" si="58"/>
        <v>0</v>
      </c>
      <c r="BV65">
        <f t="shared" si="59"/>
        <v>0</v>
      </c>
      <c r="BW65">
        <f t="shared" si="60"/>
        <v>0</v>
      </c>
      <c r="BX65">
        <f t="shared" si="61"/>
        <v>0</v>
      </c>
      <c r="BY65">
        <f t="shared" si="62"/>
        <v>0</v>
      </c>
      <c r="BZ65">
        <f t="shared" si="63"/>
        <v>0</v>
      </c>
      <c r="CA65">
        <f t="shared" si="64"/>
        <v>0</v>
      </c>
      <c r="CB65">
        <f t="shared" si="65"/>
        <v>0</v>
      </c>
      <c r="CC65">
        <f t="shared" si="66"/>
        <v>0</v>
      </c>
      <c r="CE65" t="str">
        <f t="shared" si="67"/>
        <v>053</v>
      </c>
      <c r="CF65" t="str">
        <f t="shared" si="159"/>
        <v>00</v>
      </c>
      <c r="CG65" t="str">
        <f t="shared" si="159"/>
        <v>00</v>
      </c>
      <c r="CH65" t="str">
        <f t="shared" si="159"/>
        <v>00</v>
      </c>
      <c r="CI65" t="str">
        <f t="shared" si="69"/>
        <v>01</v>
      </c>
      <c r="CJ65" t="str">
        <f t="shared" si="70"/>
        <v>04</v>
      </c>
      <c r="CK65" t="str">
        <f t="shared" si="71"/>
        <v>02</v>
      </c>
      <c r="CL65" t="str">
        <f t="shared" si="72"/>
        <v>02</v>
      </c>
      <c r="CM65" t="str">
        <f t="shared" si="73"/>
        <v>02</v>
      </c>
      <c r="CN65" t="str">
        <f t="shared" si="74"/>
        <v>02</v>
      </c>
      <c r="CO65" t="str">
        <f t="shared" si="75"/>
        <v>02</v>
      </c>
      <c r="CP65" t="str">
        <f t="shared" si="76"/>
        <v>04</v>
      </c>
      <c r="CQ65" t="str">
        <f t="shared" si="77"/>
        <v>00</v>
      </c>
      <c r="CR65" t="str">
        <f t="shared" si="78"/>
        <v>00</v>
      </c>
      <c r="CS65" t="str">
        <f t="shared" si="79"/>
        <v>00</v>
      </c>
      <c r="CT65" t="str">
        <f t="shared" si="80"/>
        <v>00</v>
      </c>
      <c r="CU65" t="str">
        <f t="shared" si="81"/>
        <v>00</v>
      </c>
      <c r="CV65" t="str">
        <f t="shared" si="82"/>
        <v>00</v>
      </c>
      <c r="CW65" t="str">
        <f t="shared" si="83"/>
        <v>00</v>
      </c>
      <c r="CX65" t="str">
        <f t="shared" si="84"/>
        <v>00</v>
      </c>
      <c r="CY65" t="str">
        <f t="shared" si="85"/>
        <v>00</v>
      </c>
      <c r="CZ65" t="str">
        <f t="shared" si="86"/>
        <v>00</v>
      </c>
      <c r="DA65" t="str">
        <f t="shared" si="87"/>
        <v>00</v>
      </c>
      <c r="DB65" t="str">
        <f t="shared" si="88"/>
        <v>08</v>
      </c>
      <c r="DC65" t="str">
        <f t="shared" si="89"/>
        <v>0104020202020204000000000000000000000008</v>
      </c>
      <c r="DD65" t="str">
        <f t="shared" si="90"/>
        <v>Request Jabatan 2 terkini</v>
      </c>
      <c r="DE65" t="s">
        <v>172</v>
      </c>
      <c r="DF65" t="s">
        <v>223</v>
      </c>
      <c r="DG65" t="s">
        <v>224</v>
      </c>
      <c r="DH65" t="s">
        <v>225</v>
      </c>
      <c r="DI65" t="s">
        <v>226</v>
      </c>
      <c r="DJ65" t="s">
        <v>227</v>
      </c>
      <c r="DK65" t="s">
        <v>228</v>
      </c>
      <c r="DL65" t="str">
        <f t="shared" si="91"/>
        <v>053,00,00,00,01,04,02,02,02,02,02,04,00,00,00,00,00,00,00,00,00,00,00,08,0104020202020204000000000000000000000008,Request Jabatan 2 terkini,file53,Blk1,Blk2,Blk3,Blk4,Blk5,Blk6</v>
      </c>
    </row>
    <row r="66" spans="2:116" x14ac:dyDescent="0.25">
      <c r="B66">
        <f t="shared" si="92"/>
        <v>54</v>
      </c>
      <c r="K66" t="s">
        <v>67</v>
      </c>
      <c r="W66">
        <f t="shared" si="115"/>
        <v>0</v>
      </c>
      <c r="X66">
        <f t="shared" si="116"/>
        <v>0</v>
      </c>
      <c r="Y66">
        <f t="shared" si="117"/>
        <v>0</v>
      </c>
      <c r="Z66">
        <f t="shared" si="118"/>
        <v>0</v>
      </c>
      <c r="AA66">
        <f t="shared" si="119"/>
        <v>0</v>
      </c>
      <c r="AB66">
        <f t="shared" si="120"/>
        <v>0</v>
      </c>
      <c r="AC66">
        <f t="shared" si="121"/>
        <v>0</v>
      </c>
      <c r="AD66">
        <f t="shared" si="122"/>
        <v>0</v>
      </c>
      <c r="AE66">
        <f t="shared" si="123"/>
        <v>1</v>
      </c>
      <c r="AF66">
        <f t="shared" si="124"/>
        <v>0</v>
      </c>
      <c r="AG66">
        <f t="shared" si="125"/>
        <v>0</v>
      </c>
      <c r="AH66">
        <f t="shared" si="126"/>
        <v>0</v>
      </c>
      <c r="AI66">
        <f t="shared" si="127"/>
        <v>0</v>
      </c>
      <c r="AJ66">
        <f t="shared" si="128"/>
        <v>0</v>
      </c>
      <c r="AK66">
        <f t="shared" si="129"/>
        <v>0</v>
      </c>
      <c r="AL66">
        <f t="shared" si="130"/>
        <v>0</v>
      </c>
      <c r="AM66">
        <f t="shared" si="131"/>
        <v>0</v>
      </c>
      <c r="AN66">
        <f t="shared" si="132"/>
        <v>0</v>
      </c>
      <c r="AO66">
        <f t="shared" si="133"/>
        <v>0</v>
      </c>
      <c r="AP66" s="2" t="str">
        <f t="shared" si="46"/>
        <v/>
      </c>
      <c r="AQ66" t="str">
        <f t="shared" si="140"/>
        <v>S</v>
      </c>
      <c r="AR66" t="str">
        <f t="shared" si="141"/>
        <v>S</v>
      </c>
      <c r="AS66" t="str">
        <f t="shared" si="142"/>
        <v>S</v>
      </c>
      <c r="AT66" t="str">
        <f t="shared" si="143"/>
        <v>S</v>
      </c>
      <c r="AU66" t="str">
        <f t="shared" si="144"/>
        <v>S</v>
      </c>
      <c r="AV66" t="str">
        <f t="shared" si="145"/>
        <v>S</v>
      </c>
      <c r="AW66" t="str">
        <f t="shared" si="146"/>
        <v>S</v>
      </c>
      <c r="AX66" t="str">
        <f t="shared" si="147"/>
        <v>S</v>
      </c>
      <c r="AY66">
        <f t="shared" si="148"/>
        <v>1</v>
      </c>
      <c r="AZ66" t="str">
        <f t="shared" si="149"/>
        <v/>
      </c>
      <c r="BA66" t="str">
        <f t="shared" si="150"/>
        <v/>
      </c>
      <c r="BB66" t="str">
        <f t="shared" si="151"/>
        <v/>
      </c>
      <c r="BC66" t="str">
        <f t="shared" si="152"/>
        <v/>
      </c>
      <c r="BD66" t="str">
        <f t="shared" si="153"/>
        <v/>
      </c>
      <c r="BE66" t="str">
        <f t="shared" si="154"/>
        <v/>
      </c>
      <c r="BF66" t="str">
        <f t="shared" si="155"/>
        <v/>
      </c>
      <c r="BG66" t="str">
        <f t="shared" si="156"/>
        <v/>
      </c>
      <c r="BH66" t="str">
        <f t="shared" si="157"/>
        <v/>
      </c>
      <c r="BI66" t="str">
        <f t="shared" si="158"/>
        <v/>
      </c>
      <c r="BK66">
        <f t="shared" si="48"/>
        <v>1</v>
      </c>
      <c r="BL66">
        <f t="shared" si="49"/>
        <v>4</v>
      </c>
      <c r="BM66">
        <f t="shared" si="50"/>
        <v>2</v>
      </c>
      <c r="BN66">
        <f t="shared" si="51"/>
        <v>2</v>
      </c>
      <c r="BO66">
        <f t="shared" si="52"/>
        <v>2</v>
      </c>
      <c r="BP66">
        <f t="shared" si="53"/>
        <v>2</v>
      </c>
      <c r="BQ66">
        <f t="shared" si="54"/>
        <v>2</v>
      </c>
      <c r="BR66">
        <f t="shared" si="55"/>
        <v>4</v>
      </c>
      <c r="BS66">
        <f t="shared" si="56"/>
        <v>1</v>
      </c>
      <c r="BT66">
        <f t="shared" si="57"/>
        <v>0</v>
      </c>
      <c r="BU66">
        <f t="shared" si="58"/>
        <v>0</v>
      </c>
      <c r="BV66">
        <f t="shared" si="59"/>
        <v>0</v>
      </c>
      <c r="BW66">
        <f t="shared" si="60"/>
        <v>0</v>
      </c>
      <c r="BX66">
        <f t="shared" si="61"/>
        <v>0</v>
      </c>
      <c r="BY66">
        <f t="shared" si="62"/>
        <v>0</v>
      </c>
      <c r="BZ66">
        <f t="shared" si="63"/>
        <v>0</v>
      </c>
      <c r="CA66">
        <f t="shared" si="64"/>
        <v>0</v>
      </c>
      <c r="CB66">
        <f t="shared" si="65"/>
        <v>0</v>
      </c>
      <c r="CC66">
        <f t="shared" si="66"/>
        <v>0</v>
      </c>
      <c r="CE66" t="str">
        <f t="shared" si="67"/>
        <v>054</v>
      </c>
      <c r="CF66" t="str">
        <f t="shared" si="159"/>
        <v>00</v>
      </c>
      <c r="CG66" t="str">
        <f t="shared" si="159"/>
        <v>00</v>
      </c>
      <c r="CH66" t="str">
        <f t="shared" si="159"/>
        <v>00</v>
      </c>
      <c r="CI66" t="str">
        <f t="shared" si="69"/>
        <v>01</v>
      </c>
      <c r="CJ66" t="str">
        <f t="shared" si="70"/>
        <v>04</v>
      </c>
      <c r="CK66" t="str">
        <f t="shared" si="71"/>
        <v>02</v>
      </c>
      <c r="CL66" t="str">
        <f t="shared" si="72"/>
        <v>02</v>
      </c>
      <c r="CM66" t="str">
        <f t="shared" si="73"/>
        <v>02</v>
      </c>
      <c r="CN66" t="str">
        <f t="shared" si="74"/>
        <v>02</v>
      </c>
      <c r="CO66" t="str">
        <f t="shared" si="75"/>
        <v>02</v>
      </c>
      <c r="CP66" t="str">
        <f t="shared" si="76"/>
        <v>04</v>
      </c>
      <c r="CQ66" t="str">
        <f t="shared" si="77"/>
        <v>01</v>
      </c>
      <c r="CR66" t="str">
        <f t="shared" si="78"/>
        <v>00</v>
      </c>
      <c r="CS66" t="str">
        <f t="shared" si="79"/>
        <v>00</v>
      </c>
      <c r="CT66" t="str">
        <f t="shared" si="80"/>
        <v>00</v>
      </c>
      <c r="CU66" t="str">
        <f t="shared" si="81"/>
        <v>00</v>
      </c>
      <c r="CV66" t="str">
        <f t="shared" si="82"/>
        <v>00</v>
      </c>
      <c r="CW66" t="str">
        <f t="shared" si="83"/>
        <v>00</v>
      </c>
      <c r="CX66" t="str">
        <f t="shared" si="84"/>
        <v>00</v>
      </c>
      <c r="CY66" t="str">
        <f t="shared" si="85"/>
        <v>00</v>
      </c>
      <c r="CZ66" t="str">
        <f t="shared" si="86"/>
        <v>00</v>
      </c>
      <c r="DA66" t="str">
        <f t="shared" si="87"/>
        <v>00</v>
      </c>
      <c r="DB66" t="str">
        <f t="shared" si="88"/>
        <v>09</v>
      </c>
      <c r="DC66" t="str">
        <f t="shared" si="89"/>
        <v>0104020202020204010000000000000000000009</v>
      </c>
      <c r="DD66" t="str">
        <f t="shared" si="90"/>
        <v>Request Jabatan 2 terkini A</v>
      </c>
      <c r="DE66" t="s">
        <v>173</v>
      </c>
      <c r="DF66" t="s">
        <v>223</v>
      </c>
      <c r="DG66" t="s">
        <v>224</v>
      </c>
      <c r="DH66" t="s">
        <v>225</v>
      </c>
      <c r="DI66" t="s">
        <v>226</v>
      </c>
      <c r="DJ66" t="s">
        <v>227</v>
      </c>
      <c r="DK66" t="s">
        <v>228</v>
      </c>
      <c r="DL66" t="str">
        <f t="shared" si="91"/>
        <v>054,00,00,00,01,04,02,02,02,02,02,04,01,00,00,00,00,00,00,00,00,00,00,09,0104020202020204010000000000000000000009,Request Jabatan 2 terkini A,file54,Blk1,Blk2,Blk3,Blk4,Blk5,Blk6</v>
      </c>
    </row>
    <row r="67" spans="2:116" x14ac:dyDescent="0.25">
      <c r="B67">
        <f t="shared" si="92"/>
        <v>55</v>
      </c>
      <c r="K67" t="s">
        <v>68</v>
      </c>
      <c r="W67">
        <f t="shared" si="115"/>
        <v>0</v>
      </c>
      <c r="X67">
        <f t="shared" si="116"/>
        <v>0</v>
      </c>
      <c r="Y67">
        <f t="shared" si="117"/>
        <v>0</v>
      </c>
      <c r="Z67">
        <f t="shared" si="118"/>
        <v>0</v>
      </c>
      <c r="AA67">
        <f t="shared" si="119"/>
        <v>0</v>
      </c>
      <c r="AB67">
        <f t="shared" si="120"/>
        <v>0</v>
      </c>
      <c r="AC67">
        <f t="shared" si="121"/>
        <v>0</v>
      </c>
      <c r="AD67">
        <f t="shared" si="122"/>
        <v>0</v>
      </c>
      <c r="AE67">
        <f t="shared" si="123"/>
        <v>1</v>
      </c>
      <c r="AF67">
        <f t="shared" si="124"/>
        <v>0</v>
      </c>
      <c r="AG67">
        <f t="shared" si="125"/>
        <v>0</v>
      </c>
      <c r="AH67">
        <f t="shared" si="126"/>
        <v>0</v>
      </c>
      <c r="AI67">
        <f t="shared" si="127"/>
        <v>0</v>
      </c>
      <c r="AJ67">
        <f t="shared" si="128"/>
        <v>0</v>
      </c>
      <c r="AK67">
        <f t="shared" si="129"/>
        <v>0</v>
      </c>
      <c r="AL67">
        <f t="shared" si="130"/>
        <v>0</v>
      </c>
      <c r="AM67">
        <f t="shared" si="131"/>
        <v>0</v>
      </c>
      <c r="AN67">
        <f t="shared" si="132"/>
        <v>0</v>
      </c>
      <c r="AO67">
        <f t="shared" si="133"/>
        <v>0</v>
      </c>
      <c r="AP67" s="2" t="str">
        <f t="shared" si="46"/>
        <v/>
      </c>
      <c r="AQ67" t="str">
        <f t="shared" si="140"/>
        <v>S</v>
      </c>
      <c r="AR67" t="str">
        <f t="shared" si="141"/>
        <v>S</v>
      </c>
      <c r="AS67" t="str">
        <f t="shared" si="142"/>
        <v>S</v>
      </c>
      <c r="AT67" t="str">
        <f t="shared" si="143"/>
        <v>S</v>
      </c>
      <c r="AU67" t="str">
        <f t="shared" si="144"/>
        <v>S</v>
      </c>
      <c r="AV67" t="str">
        <f t="shared" si="145"/>
        <v>S</v>
      </c>
      <c r="AW67" t="str">
        <f t="shared" si="146"/>
        <v>S</v>
      </c>
      <c r="AX67" t="str">
        <f t="shared" si="147"/>
        <v>S</v>
      </c>
      <c r="AY67" t="str">
        <f t="shared" si="148"/>
        <v>+</v>
      </c>
      <c r="AZ67" t="str">
        <f t="shared" si="149"/>
        <v/>
      </c>
      <c r="BA67" t="str">
        <f t="shared" si="150"/>
        <v/>
      </c>
      <c r="BB67" t="str">
        <f t="shared" si="151"/>
        <v/>
      </c>
      <c r="BC67" t="str">
        <f t="shared" si="152"/>
        <v/>
      </c>
      <c r="BD67" t="str">
        <f t="shared" si="153"/>
        <v/>
      </c>
      <c r="BE67" t="str">
        <f t="shared" si="154"/>
        <v/>
      </c>
      <c r="BF67" t="str">
        <f t="shared" si="155"/>
        <v/>
      </c>
      <c r="BG67" t="str">
        <f t="shared" si="156"/>
        <v/>
      </c>
      <c r="BH67" t="str">
        <f t="shared" si="157"/>
        <v/>
      </c>
      <c r="BI67" t="str">
        <f t="shared" si="158"/>
        <v/>
      </c>
      <c r="BK67">
        <f t="shared" si="48"/>
        <v>1</v>
      </c>
      <c r="BL67">
        <f t="shared" si="49"/>
        <v>4</v>
      </c>
      <c r="BM67">
        <f t="shared" si="50"/>
        <v>2</v>
      </c>
      <c r="BN67">
        <f t="shared" si="51"/>
        <v>2</v>
      </c>
      <c r="BO67">
        <f t="shared" si="52"/>
        <v>2</v>
      </c>
      <c r="BP67">
        <f t="shared" si="53"/>
        <v>2</v>
      </c>
      <c r="BQ67">
        <f t="shared" si="54"/>
        <v>2</v>
      </c>
      <c r="BR67">
        <f t="shared" si="55"/>
        <v>4</v>
      </c>
      <c r="BS67">
        <f t="shared" si="56"/>
        <v>2</v>
      </c>
      <c r="BT67">
        <f t="shared" si="57"/>
        <v>0</v>
      </c>
      <c r="BU67">
        <f t="shared" si="58"/>
        <v>0</v>
      </c>
      <c r="BV67">
        <f t="shared" si="59"/>
        <v>0</v>
      </c>
      <c r="BW67">
        <f t="shared" si="60"/>
        <v>0</v>
      </c>
      <c r="BX67">
        <f t="shared" si="61"/>
        <v>0</v>
      </c>
      <c r="BY67">
        <f t="shared" si="62"/>
        <v>0</v>
      </c>
      <c r="BZ67">
        <f t="shared" si="63"/>
        <v>0</v>
      </c>
      <c r="CA67">
        <f t="shared" si="64"/>
        <v>0</v>
      </c>
      <c r="CB67">
        <f t="shared" si="65"/>
        <v>0</v>
      </c>
      <c r="CC67">
        <f t="shared" si="66"/>
        <v>0</v>
      </c>
      <c r="CE67" t="str">
        <f t="shared" si="67"/>
        <v>055</v>
      </c>
      <c r="CF67" t="str">
        <f t="shared" si="159"/>
        <v>00</v>
      </c>
      <c r="CG67" t="str">
        <f t="shared" si="159"/>
        <v>00</v>
      </c>
      <c r="CH67" t="str">
        <f t="shared" si="159"/>
        <v>00</v>
      </c>
      <c r="CI67" t="str">
        <f t="shared" si="69"/>
        <v>01</v>
      </c>
      <c r="CJ67" t="str">
        <f t="shared" si="70"/>
        <v>04</v>
      </c>
      <c r="CK67" t="str">
        <f t="shared" si="71"/>
        <v>02</v>
      </c>
      <c r="CL67" t="str">
        <f t="shared" si="72"/>
        <v>02</v>
      </c>
      <c r="CM67" t="str">
        <f t="shared" si="73"/>
        <v>02</v>
      </c>
      <c r="CN67" t="str">
        <f t="shared" si="74"/>
        <v>02</v>
      </c>
      <c r="CO67" t="str">
        <f t="shared" si="75"/>
        <v>02</v>
      </c>
      <c r="CP67" t="str">
        <f t="shared" si="76"/>
        <v>04</v>
      </c>
      <c r="CQ67" t="str">
        <f t="shared" si="77"/>
        <v>02</v>
      </c>
      <c r="CR67" t="str">
        <f t="shared" si="78"/>
        <v>00</v>
      </c>
      <c r="CS67" t="str">
        <f t="shared" si="79"/>
        <v>00</v>
      </c>
      <c r="CT67" t="str">
        <f t="shared" si="80"/>
        <v>00</v>
      </c>
      <c r="CU67" t="str">
        <f t="shared" si="81"/>
        <v>00</v>
      </c>
      <c r="CV67" t="str">
        <f t="shared" si="82"/>
        <v>00</v>
      </c>
      <c r="CW67" t="str">
        <f t="shared" si="83"/>
        <v>00</v>
      </c>
      <c r="CX67" t="str">
        <f t="shared" si="84"/>
        <v>00</v>
      </c>
      <c r="CY67" t="str">
        <f t="shared" si="85"/>
        <v>00</v>
      </c>
      <c r="CZ67" t="str">
        <f t="shared" si="86"/>
        <v>00</v>
      </c>
      <c r="DA67" t="str">
        <f t="shared" si="87"/>
        <v>00</v>
      </c>
      <c r="DB67" t="str">
        <f t="shared" si="88"/>
        <v>09</v>
      </c>
      <c r="DC67" t="str">
        <f t="shared" si="89"/>
        <v>0104020202020204020000000000000000000009</v>
      </c>
      <c r="DD67" t="str">
        <f t="shared" si="90"/>
        <v>Request Jabatan 2 terkini B</v>
      </c>
      <c r="DE67" t="s">
        <v>174</v>
      </c>
      <c r="DF67" t="s">
        <v>223</v>
      </c>
      <c r="DG67" t="s">
        <v>224</v>
      </c>
      <c r="DH67" t="s">
        <v>225</v>
      </c>
      <c r="DI67" t="s">
        <v>226</v>
      </c>
      <c r="DJ67" t="s">
        <v>227</v>
      </c>
      <c r="DK67" t="s">
        <v>228</v>
      </c>
      <c r="DL67" t="str">
        <f t="shared" si="91"/>
        <v>055,00,00,00,01,04,02,02,02,02,02,04,02,00,00,00,00,00,00,00,00,00,00,09,0104020202020204020000000000000000000009,Request Jabatan 2 terkini B,file55,Blk1,Blk2,Blk3,Blk4,Blk5,Blk6</v>
      </c>
    </row>
    <row r="68" spans="2:116" x14ac:dyDescent="0.25">
      <c r="B68">
        <f t="shared" si="92"/>
        <v>56</v>
      </c>
      <c r="I68" t="s">
        <v>69</v>
      </c>
      <c r="W68">
        <f t="shared" si="115"/>
        <v>0</v>
      </c>
      <c r="X68">
        <f t="shared" si="116"/>
        <v>0</v>
      </c>
      <c r="Y68">
        <f t="shared" si="117"/>
        <v>0</v>
      </c>
      <c r="Z68">
        <f t="shared" si="118"/>
        <v>0</v>
      </c>
      <c r="AA68">
        <f t="shared" si="119"/>
        <v>0</v>
      </c>
      <c r="AB68">
        <f t="shared" si="120"/>
        <v>0</v>
      </c>
      <c r="AC68">
        <f t="shared" si="121"/>
        <v>1</v>
      </c>
      <c r="AD68">
        <f t="shared" si="122"/>
        <v>0</v>
      </c>
      <c r="AE68">
        <f t="shared" si="123"/>
        <v>0</v>
      </c>
      <c r="AF68">
        <f t="shared" si="124"/>
        <v>0</v>
      </c>
      <c r="AG68">
        <f t="shared" si="125"/>
        <v>0</v>
      </c>
      <c r="AH68">
        <f t="shared" si="126"/>
        <v>0</v>
      </c>
      <c r="AI68">
        <f t="shared" si="127"/>
        <v>0</v>
      </c>
      <c r="AJ68">
        <f t="shared" si="128"/>
        <v>0</v>
      </c>
      <c r="AK68">
        <f t="shared" si="129"/>
        <v>0</v>
      </c>
      <c r="AL68">
        <f t="shared" si="130"/>
        <v>0</v>
      </c>
      <c r="AM68">
        <f t="shared" si="131"/>
        <v>0</v>
      </c>
      <c r="AN68">
        <f t="shared" si="132"/>
        <v>0</v>
      </c>
      <c r="AO68">
        <f t="shared" si="133"/>
        <v>0</v>
      </c>
      <c r="AP68" s="2" t="str">
        <f t="shared" si="46"/>
        <v/>
      </c>
      <c r="AQ68" t="str">
        <f t="shared" si="140"/>
        <v>S</v>
      </c>
      <c r="AR68" t="str">
        <f t="shared" si="141"/>
        <v>S</v>
      </c>
      <c r="AS68" t="str">
        <f t="shared" si="142"/>
        <v>S</v>
      </c>
      <c r="AT68" t="str">
        <f t="shared" si="143"/>
        <v>S</v>
      </c>
      <c r="AU68" t="str">
        <f t="shared" si="144"/>
        <v>S</v>
      </c>
      <c r="AV68" t="str">
        <f t="shared" si="145"/>
        <v>S</v>
      </c>
      <c r="AW68" t="str">
        <f t="shared" si="146"/>
        <v>+</v>
      </c>
      <c r="AX68" t="str">
        <f t="shared" si="147"/>
        <v/>
      </c>
      <c r="AY68" t="str">
        <f t="shared" si="148"/>
        <v/>
      </c>
      <c r="AZ68" t="str">
        <f t="shared" si="149"/>
        <v/>
      </c>
      <c r="BA68" t="str">
        <f t="shared" si="150"/>
        <v/>
      </c>
      <c r="BB68" t="str">
        <f t="shared" si="151"/>
        <v/>
      </c>
      <c r="BC68" t="str">
        <f t="shared" si="152"/>
        <v/>
      </c>
      <c r="BD68" t="str">
        <f t="shared" si="153"/>
        <v/>
      </c>
      <c r="BE68" t="str">
        <f t="shared" si="154"/>
        <v/>
      </c>
      <c r="BF68" t="str">
        <f t="shared" si="155"/>
        <v/>
      </c>
      <c r="BG68" t="str">
        <f t="shared" si="156"/>
        <v/>
      </c>
      <c r="BH68" t="str">
        <f t="shared" si="157"/>
        <v/>
      </c>
      <c r="BI68" t="str">
        <f t="shared" si="158"/>
        <v/>
      </c>
      <c r="BK68">
        <f t="shared" si="48"/>
        <v>1</v>
      </c>
      <c r="BL68">
        <f t="shared" si="49"/>
        <v>4</v>
      </c>
      <c r="BM68">
        <f t="shared" si="50"/>
        <v>2</v>
      </c>
      <c r="BN68">
        <f t="shared" si="51"/>
        <v>2</v>
      </c>
      <c r="BO68">
        <f t="shared" si="52"/>
        <v>2</v>
      </c>
      <c r="BP68">
        <f t="shared" si="53"/>
        <v>2</v>
      </c>
      <c r="BQ68">
        <f t="shared" si="54"/>
        <v>3</v>
      </c>
      <c r="BR68">
        <f t="shared" si="55"/>
        <v>0</v>
      </c>
      <c r="BS68">
        <f t="shared" si="56"/>
        <v>0</v>
      </c>
      <c r="BT68">
        <f t="shared" si="57"/>
        <v>0</v>
      </c>
      <c r="BU68">
        <f t="shared" si="58"/>
        <v>0</v>
      </c>
      <c r="BV68">
        <f t="shared" si="59"/>
        <v>0</v>
      </c>
      <c r="BW68">
        <f t="shared" si="60"/>
        <v>0</v>
      </c>
      <c r="BX68">
        <f t="shared" si="61"/>
        <v>0</v>
      </c>
      <c r="BY68">
        <f t="shared" si="62"/>
        <v>0</v>
      </c>
      <c r="BZ68">
        <f t="shared" si="63"/>
        <v>0</v>
      </c>
      <c r="CA68">
        <f t="shared" si="64"/>
        <v>0</v>
      </c>
      <c r="CB68">
        <f t="shared" si="65"/>
        <v>0</v>
      </c>
      <c r="CC68">
        <f t="shared" si="66"/>
        <v>0</v>
      </c>
      <c r="CE68" t="str">
        <f t="shared" si="67"/>
        <v>056</v>
      </c>
      <c r="CF68" t="str">
        <f t="shared" si="159"/>
        <v>00</v>
      </c>
      <c r="CG68" t="str">
        <f t="shared" si="159"/>
        <v>00</v>
      </c>
      <c r="CH68" t="str">
        <f t="shared" si="159"/>
        <v>00</v>
      </c>
      <c r="CI68" t="str">
        <f t="shared" si="69"/>
        <v>01</v>
      </c>
      <c r="CJ68" t="str">
        <f t="shared" si="70"/>
        <v>04</v>
      </c>
      <c r="CK68" t="str">
        <f t="shared" si="71"/>
        <v>02</v>
      </c>
      <c r="CL68" t="str">
        <f t="shared" si="72"/>
        <v>02</v>
      </c>
      <c r="CM68" t="str">
        <f t="shared" si="73"/>
        <v>02</v>
      </c>
      <c r="CN68" t="str">
        <f t="shared" si="74"/>
        <v>02</v>
      </c>
      <c r="CO68" t="str">
        <f t="shared" si="75"/>
        <v>03</v>
      </c>
      <c r="CP68" t="str">
        <f t="shared" si="76"/>
        <v>00</v>
      </c>
      <c r="CQ68" t="str">
        <f t="shared" si="77"/>
        <v>00</v>
      </c>
      <c r="CR68" t="str">
        <f t="shared" si="78"/>
        <v>00</v>
      </c>
      <c r="CS68" t="str">
        <f t="shared" si="79"/>
        <v>00</v>
      </c>
      <c r="CT68" t="str">
        <f t="shared" si="80"/>
        <v>00</v>
      </c>
      <c r="CU68" t="str">
        <f t="shared" si="81"/>
        <v>00</v>
      </c>
      <c r="CV68" t="str">
        <f t="shared" si="82"/>
        <v>00</v>
      </c>
      <c r="CW68" t="str">
        <f t="shared" si="83"/>
        <v>00</v>
      </c>
      <c r="CX68" t="str">
        <f t="shared" si="84"/>
        <v>00</v>
      </c>
      <c r="CY68" t="str">
        <f t="shared" si="85"/>
        <v>00</v>
      </c>
      <c r="CZ68" t="str">
        <f t="shared" si="86"/>
        <v>00</v>
      </c>
      <c r="DA68" t="str">
        <f t="shared" si="87"/>
        <v>00</v>
      </c>
      <c r="DB68" t="str">
        <f t="shared" si="88"/>
        <v>07</v>
      </c>
      <c r="DC68" t="str">
        <f t="shared" si="89"/>
        <v>0104020202020300000000000000000000000007</v>
      </c>
      <c r="DD68" t="str">
        <f t="shared" si="90"/>
        <v>Request Jabatan3</v>
      </c>
      <c r="DE68" t="s">
        <v>175</v>
      </c>
      <c r="DF68" t="s">
        <v>223</v>
      </c>
      <c r="DG68" t="s">
        <v>224</v>
      </c>
      <c r="DH68" t="s">
        <v>225</v>
      </c>
      <c r="DI68" t="s">
        <v>226</v>
      </c>
      <c r="DJ68" t="s">
        <v>227</v>
      </c>
      <c r="DK68" t="s">
        <v>228</v>
      </c>
      <c r="DL68" t="str">
        <f t="shared" si="91"/>
        <v>056,00,00,00,01,04,02,02,02,02,03,00,00,00,00,00,00,00,00,00,00,00,00,07,0104020202020300000000000000000000000007,Request Jabatan3,file56,Blk1,Blk2,Blk3,Blk4,Blk5,Blk6</v>
      </c>
    </row>
    <row r="69" spans="2:116" x14ac:dyDescent="0.25">
      <c r="B69">
        <f t="shared" si="92"/>
        <v>57</v>
      </c>
      <c r="I69" t="s">
        <v>70</v>
      </c>
      <c r="W69">
        <f t="shared" si="115"/>
        <v>0</v>
      </c>
      <c r="X69">
        <f t="shared" si="116"/>
        <v>0</v>
      </c>
      <c r="Y69">
        <f t="shared" si="117"/>
        <v>0</v>
      </c>
      <c r="Z69">
        <f t="shared" si="118"/>
        <v>0</v>
      </c>
      <c r="AA69">
        <f t="shared" si="119"/>
        <v>0</v>
      </c>
      <c r="AB69">
        <f t="shared" si="120"/>
        <v>0</v>
      </c>
      <c r="AC69">
        <f t="shared" si="121"/>
        <v>1</v>
      </c>
      <c r="AD69">
        <f t="shared" si="122"/>
        <v>0</v>
      </c>
      <c r="AE69">
        <f t="shared" si="123"/>
        <v>0</v>
      </c>
      <c r="AF69">
        <f t="shared" si="124"/>
        <v>0</v>
      </c>
      <c r="AG69">
        <f t="shared" si="125"/>
        <v>0</v>
      </c>
      <c r="AH69">
        <f t="shared" si="126"/>
        <v>0</v>
      </c>
      <c r="AI69">
        <f t="shared" si="127"/>
        <v>0</v>
      </c>
      <c r="AJ69">
        <f t="shared" si="128"/>
        <v>0</v>
      </c>
      <c r="AK69">
        <f t="shared" si="129"/>
        <v>0</v>
      </c>
      <c r="AL69">
        <f t="shared" si="130"/>
        <v>0</v>
      </c>
      <c r="AM69">
        <f t="shared" si="131"/>
        <v>0</v>
      </c>
      <c r="AN69">
        <f t="shared" si="132"/>
        <v>0</v>
      </c>
      <c r="AO69">
        <f t="shared" si="133"/>
        <v>0</v>
      </c>
      <c r="AP69" s="2" t="str">
        <f t="shared" si="46"/>
        <v/>
      </c>
      <c r="AQ69" t="str">
        <f t="shared" si="140"/>
        <v>S</v>
      </c>
      <c r="AR69" t="str">
        <f t="shared" si="141"/>
        <v>S</v>
      </c>
      <c r="AS69" t="str">
        <f t="shared" si="142"/>
        <v>S</v>
      </c>
      <c r="AT69" t="str">
        <f t="shared" si="143"/>
        <v>S</v>
      </c>
      <c r="AU69" t="str">
        <f t="shared" si="144"/>
        <v>S</v>
      </c>
      <c r="AV69" t="str">
        <f t="shared" si="145"/>
        <v>S</v>
      </c>
      <c r="AW69" t="str">
        <f t="shared" si="146"/>
        <v>+</v>
      </c>
      <c r="AX69" t="str">
        <f t="shared" si="147"/>
        <v/>
      </c>
      <c r="AY69" t="str">
        <f t="shared" si="148"/>
        <v/>
      </c>
      <c r="AZ69" t="str">
        <f t="shared" si="149"/>
        <v/>
      </c>
      <c r="BA69" t="str">
        <f t="shared" si="150"/>
        <v/>
      </c>
      <c r="BB69" t="str">
        <f t="shared" si="151"/>
        <v/>
      </c>
      <c r="BC69" t="str">
        <f t="shared" si="152"/>
        <v/>
      </c>
      <c r="BD69" t="str">
        <f t="shared" si="153"/>
        <v/>
      </c>
      <c r="BE69" t="str">
        <f t="shared" si="154"/>
        <v/>
      </c>
      <c r="BF69" t="str">
        <f t="shared" si="155"/>
        <v/>
      </c>
      <c r="BG69" t="str">
        <f t="shared" si="156"/>
        <v/>
      </c>
      <c r="BH69" t="str">
        <f t="shared" si="157"/>
        <v/>
      </c>
      <c r="BI69" t="str">
        <f t="shared" si="158"/>
        <v/>
      </c>
      <c r="BK69">
        <f t="shared" si="48"/>
        <v>1</v>
      </c>
      <c r="BL69">
        <f t="shared" si="49"/>
        <v>4</v>
      </c>
      <c r="BM69">
        <f t="shared" si="50"/>
        <v>2</v>
      </c>
      <c r="BN69">
        <f t="shared" si="51"/>
        <v>2</v>
      </c>
      <c r="BO69">
        <f t="shared" si="52"/>
        <v>2</v>
      </c>
      <c r="BP69">
        <f t="shared" si="53"/>
        <v>2</v>
      </c>
      <c r="BQ69">
        <f t="shared" si="54"/>
        <v>4</v>
      </c>
      <c r="BR69">
        <f t="shared" si="55"/>
        <v>0</v>
      </c>
      <c r="BS69">
        <f t="shared" si="56"/>
        <v>0</v>
      </c>
      <c r="BT69">
        <f t="shared" si="57"/>
        <v>0</v>
      </c>
      <c r="BU69">
        <f t="shared" si="58"/>
        <v>0</v>
      </c>
      <c r="BV69">
        <f t="shared" si="59"/>
        <v>0</v>
      </c>
      <c r="BW69">
        <f t="shared" si="60"/>
        <v>0</v>
      </c>
      <c r="BX69">
        <f t="shared" si="61"/>
        <v>0</v>
      </c>
      <c r="BY69">
        <f t="shared" si="62"/>
        <v>0</v>
      </c>
      <c r="BZ69">
        <f t="shared" si="63"/>
        <v>0</v>
      </c>
      <c r="CA69">
        <f t="shared" si="64"/>
        <v>0</v>
      </c>
      <c r="CB69">
        <f t="shared" si="65"/>
        <v>0</v>
      </c>
      <c r="CC69">
        <f t="shared" si="66"/>
        <v>0</v>
      </c>
      <c r="CE69" t="str">
        <f t="shared" si="67"/>
        <v>057</v>
      </c>
      <c r="CF69" t="str">
        <f t="shared" si="159"/>
        <v>00</v>
      </c>
      <c r="CG69" t="str">
        <f t="shared" si="159"/>
        <v>00</v>
      </c>
      <c r="CH69" t="str">
        <f t="shared" si="159"/>
        <v>00</v>
      </c>
      <c r="CI69" t="str">
        <f t="shared" si="69"/>
        <v>01</v>
      </c>
      <c r="CJ69" t="str">
        <f t="shared" si="70"/>
        <v>04</v>
      </c>
      <c r="CK69" t="str">
        <f t="shared" si="71"/>
        <v>02</v>
      </c>
      <c r="CL69" t="str">
        <f t="shared" si="72"/>
        <v>02</v>
      </c>
      <c r="CM69" t="str">
        <f t="shared" si="73"/>
        <v>02</v>
      </c>
      <c r="CN69" t="str">
        <f t="shared" si="74"/>
        <v>02</v>
      </c>
      <c r="CO69" t="str">
        <f t="shared" si="75"/>
        <v>04</v>
      </c>
      <c r="CP69" t="str">
        <f t="shared" si="76"/>
        <v>00</v>
      </c>
      <c r="CQ69" t="str">
        <f t="shared" si="77"/>
        <v>00</v>
      </c>
      <c r="CR69" t="str">
        <f t="shared" si="78"/>
        <v>00</v>
      </c>
      <c r="CS69" t="str">
        <f t="shared" si="79"/>
        <v>00</v>
      </c>
      <c r="CT69" t="str">
        <f t="shared" si="80"/>
        <v>00</v>
      </c>
      <c r="CU69" t="str">
        <f t="shared" si="81"/>
        <v>00</v>
      </c>
      <c r="CV69" t="str">
        <f t="shared" si="82"/>
        <v>00</v>
      </c>
      <c r="CW69" t="str">
        <f t="shared" si="83"/>
        <v>00</v>
      </c>
      <c r="CX69" t="str">
        <f t="shared" si="84"/>
        <v>00</v>
      </c>
      <c r="CY69" t="str">
        <f t="shared" si="85"/>
        <v>00</v>
      </c>
      <c r="CZ69" t="str">
        <f t="shared" si="86"/>
        <v>00</v>
      </c>
      <c r="DA69" t="str">
        <f t="shared" si="87"/>
        <v>00</v>
      </c>
      <c r="DB69" t="str">
        <f t="shared" si="88"/>
        <v>07</v>
      </c>
      <c r="DC69" t="str">
        <f t="shared" si="89"/>
        <v>0104020202020400000000000000000000000007</v>
      </c>
      <c r="DD69" t="str">
        <f t="shared" si="90"/>
        <v>Request Jabatan4</v>
      </c>
      <c r="DE69" t="s">
        <v>176</v>
      </c>
      <c r="DF69" t="s">
        <v>223</v>
      </c>
      <c r="DG69" t="s">
        <v>224</v>
      </c>
      <c r="DH69" t="s">
        <v>225</v>
      </c>
      <c r="DI69" t="s">
        <v>226</v>
      </c>
      <c r="DJ69" t="s">
        <v>227</v>
      </c>
      <c r="DK69" t="s">
        <v>228</v>
      </c>
      <c r="DL69" t="str">
        <f t="shared" si="91"/>
        <v>057,00,00,00,01,04,02,02,02,02,04,00,00,00,00,00,00,00,00,00,00,00,00,07,0104020202020400000000000000000000000007,Request Jabatan4,file57,Blk1,Blk2,Blk3,Blk4,Blk5,Blk6</v>
      </c>
    </row>
    <row r="70" spans="2:116" x14ac:dyDescent="0.25">
      <c r="B70">
        <f t="shared" si="92"/>
        <v>58</v>
      </c>
      <c r="H70" t="s">
        <v>71</v>
      </c>
      <c r="W70">
        <f t="shared" si="115"/>
        <v>0</v>
      </c>
      <c r="X70">
        <f t="shared" si="116"/>
        <v>0</v>
      </c>
      <c r="Y70">
        <f t="shared" si="117"/>
        <v>0</v>
      </c>
      <c r="Z70">
        <f t="shared" si="118"/>
        <v>0</v>
      </c>
      <c r="AA70">
        <f t="shared" si="119"/>
        <v>0</v>
      </c>
      <c r="AB70">
        <f t="shared" si="120"/>
        <v>1</v>
      </c>
      <c r="AC70">
        <f t="shared" si="121"/>
        <v>0</v>
      </c>
      <c r="AD70">
        <f t="shared" si="122"/>
        <v>0</v>
      </c>
      <c r="AE70">
        <f t="shared" si="123"/>
        <v>0</v>
      </c>
      <c r="AF70">
        <f t="shared" si="124"/>
        <v>0</v>
      </c>
      <c r="AG70">
        <f t="shared" si="125"/>
        <v>0</v>
      </c>
      <c r="AH70">
        <f t="shared" si="126"/>
        <v>0</v>
      </c>
      <c r="AI70">
        <f t="shared" si="127"/>
        <v>0</v>
      </c>
      <c r="AJ70">
        <f t="shared" si="128"/>
        <v>0</v>
      </c>
      <c r="AK70">
        <f t="shared" si="129"/>
        <v>0</v>
      </c>
      <c r="AL70">
        <f t="shared" si="130"/>
        <v>0</v>
      </c>
      <c r="AM70">
        <f t="shared" si="131"/>
        <v>0</v>
      </c>
      <c r="AN70">
        <f t="shared" si="132"/>
        <v>0</v>
      </c>
      <c r="AO70">
        <f t="shared" si="133"/>
        <v>0</v>
      </c>
      <c r="AP70" s="2" t="str">
        <f t="shared" si="46"/>
        <v/>
      </c>
      <c r="AQ70" t="str">
        <f t="shared" si="140"/>
        <v>S</v>
      </c>
      <c r="AR70" t="str">
        <f t="shared" si="141"/>
        <v>S</v>
      </c>
      <c r="AS70" t="str">
        <f t="shared" si="142"/>
        <v>S</v>
      </c>
      <c r="AT70" t="str">
        <f t="shared" si="143"/>
        <v>S</v>
      </c>
      <c r="AU70" t="str">
        <f t="shared" si="144"/>
        <v>S</v>
      </c>
      <c r="AV70" t="str">
        <f t="shared" si="145"/>
        <v>+</v>
      </c>
      <c r="AW70" t="str">
        <f t="shared" si="146"/>
        <v/>
      </c>
      <c r="AX70" t="str">
        <f t="shared" si="147"/>
        <v/>
      </c>
      <c r="AY70" t="str">
        <f t="shared" si="148"/>
        <v/>
      </c>
      <c r="AZ70" t="str">
        <f t="shared" si="149"/>
        <v/>
      </c>
      <c r="BA70" t="str">
        <f t="shared" si="150"/>
        <v/>
      </c>
      <c r="BB70" t="str">
        <f t="shared" si="151"/>
        <v/>
      </c>
      <c r="BC70" t="str">
        <f t="shared" si="152"/>
        <v/>
      </c>
      <c r="BD70" t="str">
        <f t="shared" si="153"/>
        <v/>
      </c>
      <c r="BE70" t="str">
        <f t="shared" si="154"/>
        <v/>
      </c>
      <c r="BF70" t="str">
        <f t="shared" si="155"/>
        <v/>
      </c>
      <c r="BG70" t="str">
        <f t="shared" si="156"/>
        <v/>
      </c>
      <c r="BH70" t="str">
        <f t="shared" si="157"/>
        <v/>
      </c>
      <c r="BI70" t="str">
        <f t="shared" si="158"/>
        <v/>
      </c>
      <c r="BK70">
        <f t="shared" si="48"/>
        <v>1</v>
      </c>
      <c r="BL70">
        <f t="shared" si="49"/>
        <v>4</v>
      </c>
      <c r="BM70">
        <f t="shared" si="50"/>
        <v>2</v>
      </c>
      <c r="BN70">
        <f t="shared" si="51"/>
        <v>2</v>
      </c>
      <c r="BO70">
        <f t="shared" si="52"/>
        <v>2</v>
      </c>
      <c r="BP70">
        <f t="shared" si="53"/>
        <v>3</v>
      </c>
      <c r="BQ70">
        <f t="shared" si="54"/>
        <v>0</v>
      </c>
      <c r="BR70">
        <f t="shared" si="55"/>
        <v>0</v>
      </c>
      <c r="BS70">
        <f t="shared" si="56"/>
        <v>0</v>
      </c>
      <c r="BT70">
        <f t="shared" si="57"/>
        <v>0</v>
      </c>
      <c r="BU70">
        <f t="shared" si="58"/>
        <v>0</v>
      </c>
      <c r="BV70">
        <f t="shared" si="59"/>
        <v>0</v>
      </c>
      <c r="BW70">
        <f t="shared" si="60"/>
        <v>0</v>
      </c>
      <c r="BX70">
        <f t="shared" si="61"/>
        <v>0</v>
      </c>
      <c r="BY70">
        <f t="shared" si="62"/>
        <v>0</v>
      </c>
      <c r="BZ70">
        <f t="shared" si="63"/>
        <v>0</v>
      </c>
      <c r="CA70">
        <f t="shared" si="64"/>
        <v>0</v>
      </c>
      <c r="CB70">
        <f t="shared" si="65"/>
        <v>0</v>
      </c>
      <c r="CC70">
        <f t="shared" si="66"/>
        <v>0</v>
      </c>
      <c r="CE70" t="str">
        <f t="shared" si="67"/>
        <v>058</v>
      </c>
      <c r="CF70" t="str">
        <f t="shared" si="159"/>
        <v>00</v>
      </c>
      <c r="CG70" t="str">
        <f t="shared" si="159"/>
        <v>00</v>
      </c>
      <c r="CH70" t="str">
        <f t="shared" si="159"/>
        <v>00</v>
      </c>
      <c r="CI70" t="str">
        <f t="shared" si="69"/>
        <v>01</v>
      </c>
      <c r="CJ70" t="str">
        <f t="shared" si="70"/>
        <v>04</v>
      </c>
      <c r="CK70" t="str">
        <f t="shared" si="71"/>
        <v>02</v>
      </c>
      <c r="CL70" t="str">
        <f t="shared" si="72"/>
        <v>02</v>
      </c>
      <c r="CM70" t="str">
        <f t="shared" si="73"/>
        <v>02</v>
      </c>
      <c r="CN70" t="str">
        <f t="shared" si="74"/>
        <v>03</v>
      </c>
      <c r="CO70" t="str">
        <f t="shared" si="75"/>
        <v>00</v>
      </c>
      <c r="CP70" t="str">
        <f t="shared" si="76"/>
        <v>00</v>
      </c>
      <c r="CQ70" t="str">
        <f t="shared" si="77"/>
        <v>00</v>
      </c>
      <c r="CR70" t="str">
        <f t="shared" si="78"/>
        <v>00</v>
      </c>
      <c r="CS70" t="str">
        <f t="shared" si="79"/>
        <v>00</v>
      </c>
      <c r="CT70" t="str">
        <f t="shared" si="80"/>
        <v>00</v>
      </c>
      <c r="CU70" t="str">
        <f t="shared" si="81"/>
        <v>00</v>
      </c>
      <c r="CV70" t="str">
        <f t="shared" si="82"/>
        <v>00</v>
      </c>
      <c r="CW70" t="str">
        <f t="shared" si="83"/>
        <v>00</v>
      </c>
      <c r="CX70" t="str">
        <f t="shared" si="84"/>
        <v>00</v>
      </c>
      <c r="CY70" t="str">
        <f t="shared" si="85"/>
        <v>00</v>
      </c>
      <c r="CZ70" t="str">
        <f t="shared" si="86"/>
        <v>00</v>
      </c>
      <c r="DA70" t="str">
        <f t="shared" si="87"/>
        <v>00</v>
      </c>
      <c r="DB70" t="str">
        <f t="shared" si="88"/>
        <v>06</v>
      </c>
      <c r="DC70" t="str">
        <f t="shared" si="89"/>
        <v>0104020202030000000000000000000000000006</v>
      </c>
      <c r="DD70" t="str">
        <f t="shared" si="90"/>
        <v>Request Bangunan</v>
      </c>
      <c r="DE70" t="s">
        <v>177</v>
      </c>
      <c r="DF70" t="s">
        <v>223</v>
      </c>
      <c r="DG70" t="s">
        <v>224</v>
      </c>
      <c r="DH70" t="s">
        <v>225</v>
      </c>
      <c r="DI70" t="s">
        <v>226</v>
      </c>
      <c r="DJ70" t="s">
        <v>227</v>
      </c>
      <c r="DK70" t="s">
        <v>228</v>
      </c>
      <c r="DL70" t="str">
        <f t="shared" si="91"/>
        <v>058,00,00,00,01,04,02,02,02,03,00,00,00,00,00,00,00,00,00,00,00,00,00,06,0104020202030000000000000000000000000006,Request Bangunan,file58,Blk1,Blk2,Blk3,Blk4,Blk5,Blk6</v>
      </c>
    </row>
    <row r="71" spans="2:116" x14ac:dyDescent="0.25">
      <c r="B71">
        <f t="shared" si="92"/>
        <v>59</v>
      </c>
      <c r="G71" t="s">
        <v>72</v>
      </c>
      <c r="W71">
        <f t="shared" si="115"/>
        <v>0</v>
      </c>
      <c r="X71">
        <f t="shared" si="116"/>
        <v>0</v>
      </c>
      <c r="Y71">
        <f t="shared" si="117"/>
        <v>0</v>
      </c>
      <c r="Z71">
        <f t="shared" si="118"/>
        <v>0</v>
      </c>
      <c r="AA71">
        <f t="shared" si="119"/>
        <v>1</v>
      </c>
      <c r="AB71">
        <f t="shared" si="120"/>
        <v>0</v>
      </c>
      <c r="AC71">
        <f t="shared" si="121"/>
        <v>0</v>
      </c>
      <c r="AD71">
        <f t="shared" si="122"/>
        <v>0</v>
      </c>
      <c r="AE71">
        <f t="shared" si="123"/>
        <v>0</v>
      </c>
      <c r="AF71">
        <f t="shared" si="124"/>
        <v>0</v>
      </c>
      <c r="AG71">
        <f t="shared" si="125"/>
        <v>0</v>
      </c>
      <c r="AH71">
        <f t="shared" si="126"/>
        <v>0</v>
      </c>
      <c r="AI71">
        <f t="shared" si="127"/>
        <v>0</v>
      </c>
      <c r="AJ71">
        <f t="shared" si="128"/>
        <v>0</v>
      </c>
      <c r="AK71">
        <f t="shared" si="129"/>
        <v>0</v>
      </c>
      <c r="AL71">
        <f t="shared" si="130"/>
        <v>0</v>
      </c>
      <c r="AM71">
        <f t="shared" si="131"/>
        <v>0</v>
      </c>
      <c r="AN71">
        <f t="shared" si="132"/>
        <v>0</v>
      </c>
      <c r="AO71">
        <f t="shared" si="133"/>
        <v>0</v>
      </c>
      <c r="AP71" s="2" t="str">
        <f t="shared" si="46"/>
        <v/>
      </c>
      <c r="AQ71" t="str">
        <f t="shared" si="140"/>
        <v>S</v>
      </c>
      <c r="AR71" t="str">
        <f t="shared" si="141"/>
        <v>S</v>
      </c>
      <c r="AS71" t="str">
        <f t="shared" si="142"/>
        <v>S</v>
      </c>
      <c r="AT71" t="str">
        <f t="shared" si="143"/>
        <v>S</v>
      </c>
      <c r="AU71" t="str">
        <f t="shared" si="144"/>
        <v>+</v>
      </c>
      <c r="AV71" t="str">
        <f t="shared" si="145"/>
        <v/>
      </c>
      <c r="AW71" t="str">
        <f t="shared" si="146"/>
        <v/>
      </c>
      <c r="AX71" t="str">
        <f t="shared" si="147"/>
        <v/>
      </c>
      <c r="AY71" t="str">
        <f t="shared" si="148"/>
        <v/>
      </c>
      <c r="AZ71" t="str">
        <f t="shared" si="149"/>
        <v/>
      </c>
      <c r="BA71" t="str">
        <f t="shared" si="150"/>
        <v/>
      </c>
      <c r="BB71" t="str">
        <f t="shared" si="151"/>
        <v/>
      </c>
      <c r="BC71" t="str">
        <f t="shared" si="152"/>
        <v/>
      </c>
      <c r="BD71" t="str">
        <f t="shared" si="153"/>
        <v/>
      </c>
      <c r="BE71" t="str">
        <f t="shared" si="154"/>
        <v/>
      </c>
      <c r="BF71" t="str">
        <f t="shared" si="155"/>
        <v/>
      </c>
      <c r="BG71" t="str">
        <f t="shared" si="156"/>
        <v/>
      </c>
      <c r="BH71" t="str">
        <f t="shared" si="157"/>
        <v/>
      </c>
      <c r="BI71" t="str">
        <f t="shared" si="158"/>
        <v/>
      </c>
      <c r="BK71">
        <f t="shared" si="48"/>
        <v>1</v>
      </c>
      <c r="BL71">
        <f t="shared" si="49"/>
        <v>4</v>
      </c>
      <c r="BM71">
        <f t="shared" si="50"/>
        <v>2</v>
      </c>
      <c r="BN71">
        <f t="shared" si="51"/>
        <v>2</v>
      </c>
      <c r="BO71">
        <f t="shared" si="52"/>
        <v>3</v>
      </c>
      <c r="BP71">
        <f t="shared" si="53"/>
        <v>0</v>
      </c>
      <c r="BQ71">
        <f t="shared" si="54"/>
        <v>0</v>
      </c>
      <c r="BR71">
        <f t="shared" si="55"/>
        <v>0</v>
      </c>
      <c r="BS71">
        <f t="shared" si="56"/>
        <v>0</v>
      </c>
      <c r="BT71">
        <f t="shared" si="57"/>
        <v>0</v>
      </c>
      <c r="BU71">
        <f t="shared" si="58"/>
        <v>0</v>
      </c>
      <c r="BV71">
        <f t="shared" si="59"/>
        <v>0</v>
      </c>
      <c r="BW71">
        <f t="shared" si="60"/>
        <v>0</v>
      </c>
      <c r="BX71">
        <f t="shared" si="61"/>
        <v>0</v>
      </c>
      <c r="BY71">
        <f t="shared" si="62"/>
        <v>0</v>
      </c>
      <c r="BZ71">
        <f t="shared" si="63"/>
        <v>0</v>
      </c>
      <c r="CA71">
        <f t="shared" si="64"/>
        <v>0</v>
      </c>
      <c r="CB71">
        <f t="shared" si="65"/>
        <v>0</v>
      </c>
      <c r="CC71">
        <f t="shared" si="66"/>
        <v>0</v>
      </c>
      <c r="CE71" t="str">
        <f t="shared" si="67"/>
        <v>059</v>
      </c>
      <c r="CF71" t="str">
        <f t="shared" si="159"/>
        <v>00</v>
      </c>
      <c r="CG71" t="str">
        <f t="shared" si="159"/>
        <v>00</v>
      </c>
      <c r="CH71" t="str">
        <f t="shared" si="159"/>
        <v>00</v>
      </c>
      <c r="CI71" t="str">
        <f t="shared" si="69"/>
        <v>01</v>
      </c>
      <c r="CJ71" t="str">
        <f t="shared" si="70"/>
        <v>04</v>
      </c>
      <c r="CK71" t="str">
        <f t="shared" si="71"/>
        <v>02</v>
      </c>
      <c r="CL71" t="str">
        <f t="shared" si="72"/>
        <v>02</v>
      </c>
      <c r="CM71" t="str">
        <f t="shared" si="73"/>
        <v>03</v>
      </c>
      <c r="CN71" t="str">
        <f t="shared" si="74"/>
        <v>00</v>
      </c>
      <c r="CO71" t="str">
        <f t="shared" si="75"/>
        <v>00</v>
      </c>
      <c r="CP71" t="str">
        <f t="shared" si="76"/>
        <v>00</v>
      </c>
      <c r="CQ71" t="str">
        <f t="shared" si="77"/>
        <v>00</v>
      </c>
      <c r="CR71" t="str">
        <f t="shared" si="78"/>
        <v>00</v>
      </c>
      <c r="CS71" t="str">
        <f t="shared" si="79"/>
        <v>00</v>
      </c>
      <c r="CT71" t="str">
        <f t="shared" si="80"/>
        <v>00</v>
      </c>
      <c r="CU71" t="str">
        <f t="shared" si="81"/>
        <v>00</v>
      </c>
      <c r="CV71" t="str">
        <f t="shared" si="82"/>
        <v>00</v>
      </c>
      <c r="CW71" t="str">
        <f t="shared" si="83"/>
        <v>00</v>
      </c>
      <c r="CX71" t="str">
        <f t="shared" si="84"/>
        <v>00</v>
      </c>
      <c r="CY71" t="str">
        <f t="shared" si="85"/>
        <v>00</v>
      </c>
      <c r="CZ71" t="str">
        <f t="shared" si="86"/>
        <v>00</v>
      </c>
      <c r="DA71" t="str">
        <f t="shared" si="87"/>
        <v>00</v>
      </c>
      <c r="DB71" t="str">
        <f t="shared" si="88"/>
        <v>05</v>
      </c>
      <c r="DC71" t="str">
        <f t="shared" si="89"/>
        <v>0104020203000000000000000000000000000005</v>
      </c>
      <c r="DD71" t="str">
        <f t="shared" si="90"/>
        <v>Request utama 3</v>
      </c>
      <c r="DE71" t="s">
        <v>178</v>
      </c>
      <c r="DF71" t="s">
        <v>223</v>
      </c>
      <c r="DG71" t="s">
        <v>224</v>
      </c>
      <c r="DH71" t="s">
        <v>225</v>
      </c>
      <c r="DI71" t="s">
        <v>226</v>
      </c>
      <c r="DJ71" t="s">
        <v>227</v>
      </c>
      <c r="DK71" t="s">
        <v>228</v>
      </c>
      <c r="DL71" t="str">
        <f t="shared" si="91"/>
        <v>059,00,00,00,01,04,02,02,03,00,00,00,00,00,00,00,00,00,00,00,00,00,00,05,0104020203000000000000000000000000000005,Request utama 3,file59,Blk1,Blk2,Blk3,Blk4,Blk5,Blk6</v>
      </c>
    </row>
    <row r="72" spans="2:116" x14ac:dyDescent="0.25">
      <c r="B72">
        <f t="shared" si="92"/>
        <v>60</v>
      </c>
      <c r="H72" t="s">
        <v>73</v>
      </c>
      <c r="W72">
        <f t="shared" si="115"/>
        <v>0</v>
      </c>
      <c r="X72">
        <f t="shared" si="116"/>
        <v>0</v>
      </c>
      <c r="Y72">
        <f t="shared" si="117"/>
        <v>0</v>
      </c>
      <c r="Z72">
        <f t="shared" si="118"/>
        <v>0</v>
      </c>
      <c r="AA72">
        <f t="shared" si="119"/>
        <v>0</v>
      </c>
      <c r="AB72">
        <f t="shared" si="120"/>
        <v>1</v>
      </c>
      <c r="AC72">
        <f t="shared" si="121"/>
        <v>0</v>
      </c>
      <c r="AD72">
        <f t="shared" si="122"/>
        <v>0</v>
      </c>
      <c r="AE72">
        <f t="shared" si="123"/>
        <v>0</v>
      </c>
      <c r="AF72">
        <f t="shared" si="124"/>
        <v>0</v>
      </c>
      <c r="AG72">
        <f t="shared" si="125"/>
        <v>0</v>
      </c>
      <c r="AH72">
        <f t="shared" si="126"/>
        <v>0</v>
      </c>
      <c r="AI72">
        <f t="shared" si="127"/>
        <v>0</v>
      </c>
      <c r="AJ72">
        <f t="shared" si="128"/>
        <v>0</v>
      </c>
      <c r="AK72">
        <f t="shared" si="129"/>
        <v>0</v>
      </c>
      <c r="AL72">
        <f t="shared" si="130"/>
        <v>0</v>
      </c>
      <c r="AM72">
        <f t="shared" si="131"/>
        <v>0</v>
      </c>
      <c r="AN72">
        <f t="shared" si="132"/>
        <v>0</v>
      </c>
      <c r="AO72">
        <f t="shared" si="133"/>
        <v>0</v>
      </c>
      <c r="AP72" s="2" t="str">
        <f t="shared" si="46"/>
        <v/>
      </c>
      <c r="AQ72" t="str">
        <f t="shared" si="140"/>
        <v>S</v>
      </c>
      <c r="AR72" t="str">
        <f t="shared" si="141"/>
        <v>S</v>
      </c>
      <c r="AS72" t="str">
        <f t="shared" si="142"/>
        <v>S</v>
      </c>
      <c r="AT72" t="str">
        <f t="shared" si="143"/>
        <v>S</v>
      </c>
      <c r="AU72" t="str">
        <f t="shared" si="144"/>
        <v>S</v>
      </c>
      <c r="AV72">
        <f t="shared" si="145"/>
        <v>1</v>
      </c>
      <c r="AW72" t="str">
        <f t="shared" si="146"/>
        <v/>
      </c>
      <c r="AX72" t="str">
        <f t="shared" si="147"/>
        <v/>
      </c>
      <c r="AY72" t="str">
        <f t="shared" si="148"/>
        <v/>
      </c>
      <c r="AZ72" t="str">
        <f t="shared" si="149"/>
        <v/>
      </c>
      <c r="BA72" t="str">
        <f t="shared" si="150"/>
        <v/>
      </c>
      <c r="BB72" t="str">
        <f t="shared" si="151"/>
        <v/>
      </c>
      <c r="BC72" t="str">
        <f t="shared" si="152"/>
        <v/>
      </c>
      <c r="BD72" t="str">
        <f t="shared" si="153"/>
        <v/>
      </c>
      <c r="BE72" t="str">
        <f t="shared" si="154"/>
        <v/>
      </c>
      <c r="BF72" t="str">
        <f t="shared" si="155"/>
        <v/>
      </c>
      <c r="BG72" t="str">
        <f t="shared" si="156"/>
        <v/>
      </c>
      <c r="BH72" t="str">
        <f t="shared" si="157"/>
        <v/>
      </c>
      <c r="BI72" t="str">
        <f t="shared" si="158"/>
        <v/>
      </c>
      <c r="BK72">
        <f t="shared" si="48"/>
        <v>1</v>
      </c>
      <c r="BL72">
        <f t="shared" si="49"/>
        <v>4</v>
      </c>
      <c r="BM72">
        <f t="shared" si="50"/>
        <v>2</v>
      </c>
      <c r="BN72">
        <f t="shared" si="51"/>
        <v>2</v>
      </c>
      <c r="BO72">
        <f t="shared" si="52"/>
        <v>3</v>
      </c>
      <c r="BP72">
        <f t="shared" si="53"/>
        <v>1</v>
      </c>
      <c r="BQ72">
        <f t="shared" si="54"/>
        <v>0</v>
      </c>
      <c r="BR72">
        <f t="shared" si="55"/>
        <v>0</v>
      </c>
      <c r="BS72">
        <f t="shared" si="56"/>
        <v>0</v>
      </c>
      <c r="BT72">
        <f t="shared" si="57"/>
        <v>0</v>
      </c>
      <c r="BU72">
        <f t="shared" si="58"/>
        <v>0</v>
      </c>
      <c r="BV72">
        <f t="shared" si="59"/>
        <v>0</v>
      </c>
      <c r="BW72">
        <f t="shared" si="60"/>
        <v>0</v>
      </c>
      <c r="BX72">
        <f t="shared" si="61"/>
        <v>0</v>
      </c>
      <c r="BY72">
        <f t="shared" si="62"/>
        <v>0</v>
      </c>
      <c r="BZ72">
        <f t="shared" si="63"/>
        <v>0</v>
      </c>
      <c r="CA72">
        <f t="shared" si="64"/>
        <v>0</v>
      </c>
      <c r="CB72">
        <f t="shared" si="65"/>
        <v>0</v>
      </c>
      <c r="CC72">
        <f t="shared" si="66"/>
        <v>0</v>
      </c>
      <c r="CE72" t="str">
        <f t="shared" si="67"/>
        <v>060</v>
      </c>
      <c r="CF72" t="str">
        <f t="shared" si="159"/>
        <v>00</v>
      </c>
      <c r="CG72" t="str">
        <f t="shared" si="159"/>
        <v>00</v>
      </c>
      <c r="CH72" t="str">
        <f t="shared" si="159"/>
        <v>00</v>
      </c>
      <c r="CI72" t="str">
        <f t="shared" si="69"/>
        <v>01</v>
      </c>
      <c r="CJ72" t="str">
        <f t="shared" si="70"/>
        <v>04</v>
      </c>
      <c r="CK72" t="str">
        <f t="shared" si="71"/>
        <v>02</v>
      </c>
      <c r="CL72" t="str">
        <f t="shared" si="72"/>
        <v>02</v>
      </c>
      <c r="CM72" t="str">
        <f t="shared" si="73"/>
        <v>03</v>
      </c>
      <c r="CN72" t="str">
        <f t="shared" si="74"/>
        <v>01</v>
      </c>
      <c r="CO72" t="str">
        <f t="shared" si="75"/>
        <v>00</v>
      </c>
      <c r="CP72" t="str">
        <f t="shared" si="76"/>
        <v>00</v>
      </c>
      <c r="CQ72" t="str">
        <f t="shared" si="77"/>
        <v>00</v>
      </c>
      <c r="CR72" t="str">
        <f t="shared" si="78"/>
        <v>00</v>
      </c>
      <c r="CS72" t="str">
        <f t="shared" si="79"/>
        <v>00</v>
      </c>
      <c r="CT72" t="str">
        <f t="shared" si="80"/>
        <v>00</v>
      </c>
      <c r="CU72" t="str">
        <f t="shared" si="81"/>
        <v>00</v>
      </c>
      <c r="CV72" t="str">
        <f t="shared" si="82"/>
        <v>00</v>
      </c>
      <c r="CW72" t="str">
        <f t="shared" si="83"/>
        <v>00</v>
      </c>
      <c r="CX72" t="str">
        <f t="shared" si="84"/>
        <v>00</v>
      </c>
      <c r="CY72" t="str">
        <f t="shared" si="85"/>
        <v>00</v>
      </c>
      <c r="CZ72" t="str">
        <f t="shared" si="86"/>
        <v>00</v>
      </c>
      <c r="DA72" t="str">
        <f t="shared" si="87"/>
        <v>00</v>
      </c>
      <c r="DB72" t="str">
        <f t="shared" si="88"/>
        <v>06</v>
      </c>
      <c r="DC72" t="str">
        <f t="shared" si="89"/>
        <v>0104020203010000000000000000000000000006</v>
      </c>
      <c r="DD72" t="str">
        <f t="shared" si="90"/>
        <v>Request utama 3A</v>
      </c>
      <c r="DE72" t="s">
        <v>179</v>
      </c>
      <c r="DF72" t="s">
        <v>223</v>
      </c>
      <c r="DG72" t="s">
        <v>224</v>
      </c>
      <c r="DH72" t="s">
        <v>225</v>
      </c>
      <c r="DI72" t="s">
        <v>226</v>
      </c>
      <c r="DJ72" t="s">
        <v>227</v>
      </c>
      <c r="DK72" t="s">
        <v>228</v>
      </c>
      <c r="DL72" t="str">
        <f t="shared" si="91"/>
        <v>060,00,00,00,01,04,02,02,03,01,00,00,00,00,00,00,00,00,00,00,00,00,00,06,0104020203010000000000000000000000000006,Request utama 3A,file60,Blk1,Blk2,Blk3,Blk4,Blk5,Blk6</v>
      </c>
    </row>
    <row r="73" spans="2:116" x14ac:dyDescent="0.25">
      <c r="B73">
        <f t="shared" si="92"/>
        <v>61</v>
      </c>
      <c r="H73" t="s">
        <v>74</v>
      </c>
      <c r="W73">
        <f t="shared" si="115"/>
        <v>0</v>
      </c>
      <c r="X73">
        <f t="shared" si="116"/>
        <v>0</v>
      </c>
      <c r="Y73">
        <f t="shared" si="117"/>
        <v>0</v>
      </c>
      <c r="Z73">
        <f t="shared" si="118"/>
        <v>0</v>
      </c>
      <c r="AA73">
        <f t="shared" si="119"/>
        <v>0</v>
      </c>
      <c r="AB73">
        <f t="shared" si="120"/>
        <v>1</v>
      </c>
      <c r="AC73">
        <f t="shared" si="121"/>
        <v>0</v>
      </c>
      <c r="AD73">
        <f t="shared" si="122"/>
        <v>0</v>
      </c>
      <c r="AE73">
        <f t="shared" si="123"/>
        <v>0</v>
      </c>
      <c r="AF73">
        <f t="shared" si="124"/>
        <v>0</v>
      </c>
      <c r="AG73">
        <f t="shared" si="125"/>
        <v>0</v>
      </c>
      <c r="AH73">
        <f t="shared" si="126"/>
        <v>0</v>
      </c>
      <c r="AI73">
        <f t="shared" si="127"/>
        <v>0</v>
      </c>
      <c r="AJ73">
        <f t="shared" si="128"/>
        <v>0</v>
      </c>
      <c r="AK73">
        <f t="shared" si="129"/>
        <v>0</v>
      </c>
      <c r="AL73">
        <f t="shared" si="130"/>
        <v>0</v>
      </c>
      <c r="AM73">
        <f t="shared" si="131"/>
        <v>0</v>
      </c>
      <c r="AN73">
        <f t="shared" si="132"/>
        <v>0</v>
      </c>
      <c r="AO73">
        <f t="shared" si="133"/>
        <v>0</v>
      </c>
      <c r="AP73" s="2" t="str">
        <f t="shared" si="46"/>
        <v/>
      </c>
      <c r="AQ73" t="str">
        <f t="shared" si="140"/>
        <v>S</v>
      </c>
      <c r="AR73" t="str">
        <f t="shared" si="141"/>
        <v>S</v>
      </c>
      <c r="AS73" t="str">
        <f t="shared" si="142"/>
        <v>S</v>
      </c>
      <c r="AT73" t="str">
        <f t="shared" si="143"/>
        <v>S</v>
      </c>
      <c r="AU73" t="str">
        <f t="shared" si="144"/>
        <v>S</v>
      </c>
      <c r="AV73" t="str">
        <f t="shared" si="145"/>
        <v>+</v>
      </c>
      <c r="AW73" t="str">
        <f t="shared" si="146"/>
        <v/>
      </c>
      <c r="AX73" t="str">
        <f t="shared" si="147"/>
        <v/>
      </c>
      <c r="AY73" t="str">
        <f t="shared" si="148"/>
        <v/>
      </c>
      <c r="AZ73" t="str">
        <f t="shared" si="149"/>
        <v/>
      </c>
      <c r="BA73" t="str">
        <f t="shared" si="150"/>
        <v/>
      </c>
      <c r="BB73" t="str">
        <f t="shared" si="151"/>
        <v/>
      </c>
      <c r="BC73" t="str">
        <f t="shared" si="152"/>
        <v/>
      </c>
      <c r="BD73" t="str">
        <f t="shared" si="153"/>
        <v/>
      </c>
      <c r="BE73" t="str">
        <f t="shared" si="154"/>
        <v/>
      </c>
      <c r="BF73" t="str">
        <f t="shared" si="155"/>
        <v/>
      </c>
      <c r="BG73" t="str">
        <f t="shared" si="156"/>
        <v/>
      </c>
      <c r="BH73" t="str">
        <f t="shared" si="157"/>
        <v/>
      </c>
      <c r="BI73" t="str">
        <f t="shared" si="158"/>
        <v/>
      </c>
      <c r="BK73">
        <f t="shared" si="48"/>
        <v>1</v>
      </c>
      <c r="BL73">
        <f t="shared" si="49"/>
        <v>4</v>
      </c>
      <c r="BM73">
        <f t="shared" si="50"/>
        <v>2</v>
      </c>
      <c r="BN73">
        <f t="shared" si="51"/>
        <v>2</v>
      </c>
      <c r="BO73">
        <f t="shared" si="52"/>
        <v>3</v>
      </c>
      <c r="BP73">
        <f t="shared" si="53"/>
        <v>2</v>
      </c>
      <c r="BQ73">
        <f t="shared" si="54"/>
        <v>0</v>
      </c>
      <c r="BR73">
        <f t="shared" si="55"/>
        <v>0</v>
      </c>
      <c r="BS73">
        <f t="shared" si="56"/>
        <v>0</v>
      </c>
      <c r="BT73">
        <f t="shared" si="57"/>
        <v>0</v>
      </c>
      <c r="BU73">
        <f t="shared" si="58"/>
        <v>0</v>
      </c>
      <c r="BV73">
        <f t="shared" si="59"/>
        <v>0</v>
      </c>
      <c r="BW73">
        <f t="shared" si="60"/>
        <v>0</v>
      </c>
      <c r="BX73">
        <f t="shared" si="61"/>
        <v>0</v>
      </c>
      <c r="BY73">
        <f t="shared" si="62"/>
        <v>0</v>
      </c>
      <c r="BZ73">
        <f t="shared" si="63"/>
        <v>0</v>
      </c>
      <c r="CA73">
        <f t="shared" si="64"/>
        <v>0</v>
      </c>
      <c r="CB73">
        <f t="shared" si="65"/>
        <v>0</v>
      </c>
      <c r="CC73">
        <f t="shared" si="66"/>
        <v>0</v>
      </c>
      <c r="CE73" t="str">
        <f t="shared" si="67"/>
        <v>061</v>
      </c>
      <c r="CF73" t="str">
        <f t="shared" si="159"/>
        <v>00</v>
      </c>
      <c r="CG73" t="str">
        <f t="shared" si="159"/>
        <v>00</v>
      </c>
      <c r="CH73" t="str">
        <f t="shared" si="159"/>
        <v>00</v>
      </c>
      <c r="CI73" t="str">
        <f t="shared" si="69"/>
        <v>01</v>
      </c>
      <c r="CJ73" t="str">
        <f t="shared" si="70"/>
        <v>04</v>
      </c>
      <c r="CK73" t="str">
        <f t="shared" si="71"/>
        <v>02</v>
      </c>
      <c r="CL73" t="str">
        <f t="shared" si="72"/>
        <v>02</v>
      </c>
      <c r="CM73" t="str">
        <f t="shared" si="73"/>
        <v>03</v>
      </c>
      <c r="CN73" t="str">
        <f t="shared" si="74"/>
        <v>02</v>
      </c>
      <c r="CO73" t="str">
        <f t="shared" si="75"/>
        <v>00</v>
      </c>
      <c r="CP73" t="str">
        <f t="shared" si="76"/>
        <v>00</v>
      </c>
      <c r="CQ73" t="str">
        <f t="shared" si="77"/>
        <v>00</v>
      </c>
      <c r="CR73" t="str">
        <f t="shared" si="78"/>
        <v>00</v>
      </c>
      <c r="CS73" t="str">
        <f t="shared" si="79"/>
        <v>00</v>
      </c>
      <c r="CT73" t="str">
        <f t="shared" si="80"/>
        <v>00</v>
      </c>
      <c r="CU73" t="str">
        <f t="shared" si="81"/>
        <v>00</v>
      </c>
      <c r="CV73" t="str">
        <f t="shared" si="82"/>
        <v>00</v>
      </c>
      <c r="CW73" t="str">
        <f t="shared" si="83"/>
        <v>00</v>
      </c>
      <c r="CX73" t="str">
        <f t="shared" si="84"/>
        <v>00</v>
      </c>
      <c r="CY73" t="str">
        <f t="shared" si="85"/>
        <v>00</v>
      </c>
      <c r="CZ73" t="str">
        <f t="shared" si="86"/>
        <v>00</v>
      </c>
      <c r="DA73" t="str">
        <f t="shared" si="87"/>
        <v>00</v>
      </c>
      <c r="DB73" t="str">
        <f t="shared" si="88"/>
        <v>06</v>
      </c>
      <c r="DC73" t="str">
        <f t="shared" si="89"/>
        <v>0104020203020000000000000000000000000006</v>
      </c>
      <c r="DD73" t="str">
        <f t="shared" si="90"/>
        <v>Request utama 3B</v>
      </c>
      <c r="DE73" t="s">
        <v>180</v>
      </c>
      <c r="DF73" t="s">
        <v>223</v>
      </c>
      <c r="DG73" t="s">
        <v>224</v>
      </c>
      <c r="DH73" t="s">
        <v>225</v>
      </c>
      <c r="DI73" t="s">
        <v>226</v>
      </c>
      <c r="DJ73" t="s">
        <v>227</v>
      </c>
      <c r="DK73" t="s">
        <v>228</v>
      </c>
      <c r="DL73" t="str">
        <f t="shared" si="91"/>
        <v>061,00,00,00,01,04,02,02,03,02,00,00,00,00,00,00,00,00,00,00,00,00,00,06,0104020203020000000000000000000000000006,Request utama 3B,file61,Blk1,Blk2,Blk3,Blk4,Blk5,Blk6</v>
      </c>
    </row>
    <row r="74" spans="2:116" x14ac:dyDescent="0.25">
      <c r="B74">
        <f t="shared" si="92"/>
        <v>62</v>
      </c>
      <c r="I74" t="s">
        <v>77</v>
      </c>
      <c r="W74">
        <f t="shared" si="115"/>
        <v>0</v>
      </c>
      <c r="X74">
        <f t="shared" si="116"/>
        <v>0</v>
      </c>
      <c r="Y74">
        <f t="shared" si="117"/>
        <v>0</v>
      </c>
      <c r="Z74">
        <f t="shared" si="118"/>
        <v>0</v>
      </c>
      <c r="AA74">
        <f t="shared" si="119"/>
        <v>0</v>
      </c>
      <c r="AB74">
        <f t="shared" si="120"/>
        <v>0</v>
      </c>
      <c r="AC74">
        <f t="shared" si="121"/>
        <v>1</v>
      </c>
      <c r="AD74">
        <f t="shared" si="122"/>
        <v>0</v>
      </c>
      <c r="AE74">
        <f t="shared" si="123"/>
        <v>0</v>
      </c>
      <c r="AF74">
        <f t="shared" si="124"/>
        <v>0</v>
      </c>
      <c r="AG74">
        <f t="shared" si="125"/>
        <v>0</v>
      </c>
      <c r="AH74">
        <f t="shared" si="126"/>
        <v>0</v>
      </c>
      <c r="AI74">
        <f t="shared" si="127"/>
        <v>0</v>
      </c>
      <c r="AJ74">
        <f t="shared" si="128"/>
        <v>0</v>
      </c>
      <c r="AK74">
        <f t="shared" si="129"/>
        <v>0</v>
      </c>
      <c r="AL74">
        <f t="shared" si="130"/>
        <v>0</v>
      </c>
      <c r="AM74">
        <f t="shared" si="131"/>
        <v>0</v>
      </c>
      <c r="AN74">
        <f t="shared" si="132"/>
        <v>0</v>
      </c>
      <c r="AO74">
        <f t="shared" si="133"/>
        <v>0</v>
      </c>
      <c r="AP74" s="2" t="str">
        <f t="shared" si="46"/>
        <v/>
      </c>
      <c r="AQ74" t="str">
        <f t="shared" si="140"/>
        <v>S</v>
      </c>
      <c r="AR74" t="str">
        <f t="shared" si="141"/>
        <v>S</v>
      </c>
      <c r="AS74" t="str">
        <f t="shared" si="142"/>
        <v>S</v>
      </c>
      <c r="AT74" t="str">
        <f t="shared" si="143"/>
        <v>S</v>
      </c>
      <c r="AU74" t="str">
        <f t="shared" si="144"/>
        <v>S</v>
      </c>
      <c r="AV74" t="str">
        <f t="shared" si="145"/>
        <v>S</v>
      </c>
      <c r="AW74">
        <f t="shared" si="146"/>
        <v>1</v>
      </c>
      <c r="AX74" t="str">
        <f t="shared" si="147"/>
        <v/>
      </c>
      <c r="AY74" t="str">
        <f t="shared" si="148"/>
        <v/>
      </c>
      <c r="AZ74" t="str">
        <f t="shared" si="149"/>
        <v/>
      </c>
      <c r="BA74" t="str">
        <f t="shared" si="150"/>
        <v/>
      </c>
      <c r="BB74" t="str">
        <f t="shared" si="151"/>
        <v/>
      </c>
      <c r="BC74" t="str">
        <f t="shared" si="152"/>
        <v/>
      </c>
      <c r="BD74" t="str">
        <f t="shared" si="153"/>
        <v/>
      </c>
      <c r="BE74" t="str">
        <f t="shared" si="154"/>
        <v/>
      </c>
      <c r="BF74" t="str">
        <f t="shared" si="155"/>
        <v/>
      </c>
      <c r="BG74" t="str">
        <f t="shared" si="156"/>
        <v/>
      </c>
      <c r="BH74" t="str">
        <f t="shared" si="157"/>
        <v/>
      </c>
      <c r="BI74" t="str">
        <f t="shared" si="158"/>
        <v/>
      </c>
      <c r="BK74">
        <f t="shared" si="48"/>
        <v>1</v>
      </c>
      <c r="BL74">
        <f t="shared" si="49"/>
        <v>4</v>
      </c>
      <c r="BM74">
        <f t="shared" si="50"/>
        <v>2</v>
      </c>
      <c r="BN74">
        <f t="shared" si="51"/>
        <v>2</v>
      </c>
      <c r="BO74">
        <f t="shared" si="52"/>
        <v>3</v>
      </c>
      <c r="BP74">
        <f t="shared" si="53"/>
        <v>2</v>
      </c>
      <c r="BQ74">
        <f t="shared" si="54"/>
        <v>1</v>
      </c>
      <c r="BR74">
        <f t="shared" si="55"/>
        <v>0</v>
      </c>
      <c r="BS74">
        <f t="shared" si="56"/>
        <v>0</v>
      </c>
      <c r="BT74">
        <f t="shared" si="57"/>
        <v>0</v>
      </c>
      <c r="BU74">
        <f t="shared" si="58"/>
        <v>0</v>
      </c>
      <c r="BV74">
        <f t="shared" si="59"/>
        <v>0</v>
      </c>
      <c r="BW74">
        <f t="shared" si="60"/>
        <v>0</v>
      </c>
      <c r="BX74">
        <f t="shared" si="61"/>
        <v>0</v>
      </c>
      <c r="BY74">
        <f t="shared" si="62"/>
        <v>0</v>
      </c>
      <c r="BZ74">
        <f t="shared" si="63"/>
        <v>0</v>
      </c>
      <c r="CA74">
        <f t="shared" si="64"/>
        <v>0</v>
      </c>
      <c r="CB74">
        <f t="shared" si="65"/>
        <v>0</v>
      </c>
      <c r="CC74">
        <f t="shared" si="66"/>
        <v>0</v>
      </c>
      <c r="CE74" t="str">
        <f t="shared" si="67"/>
        <v>062</v>
      </c>
      <c r="CF74" t="str">
        <f t="shared" si="159"/>
        <v>00</v>
      </c>
      <c r="CG74" t="str">
        <f t="shared" si="159"/>
        <v>00</v>
      </c>
      <c r="CH74" t="str">
        <f t="shared" si="159"/>
        <v>00</v>
      </c>
      <c r="CI74" t="str">
        <f t="shared" si="69"/>
        <v>01</v>
      </c>
      <c r="CJ74" t="str">
        <f t="shared" si="70"/>
        <v>04</v>
      </c>
      <c r="CK74" t="str">
        <f t="shared" si="71"/>
        <v>02</v>
      </c>
      <c r="CL74" t="str">
        <f t="shared" si="72"/>
        <v>02</v>
      </c>
      <c r="CM74" t="str">
        <f t="shared" si="73"/>
        <v>03</v>
      </c>
      <c r="CN74" t="str">
        <f t="shared" si="74"/>
        <v>02</v>
      </c>
      <c r="CO74" t="str">
        <f t="shared" si="75"/>
        <v>01</v>
      </c>
      <c r="CP74" t="str">
        <f t="shared" si="76"/>
        <v>00</v>
      </c>
      <c r="CQ74" t="str">
        <f t="shared" si="77"/>
        <v>00</v>
      </c>
      <c r="CR74" t="str">
        <f t="shared" si="78"/>
        <v>00</v>
      </c>
      <c r="CS74" t="str">
        <f t="shared" si="79"/>
        <v>00</v>
      </c>
      <c r="CT74" t="str">
        <f t="shared" si="80"/>
        <v>00</v>
      </c>
      <c r="CU74" t="str">
        <f t="shared" si="81"/>
        <v>00</v>
      </c>
      <c r="CV74" t="str">
        <f t="shared" si="82"/>
        <v>00</v>
      </c>
      <c r="CW74" t="str">
        <f t="shared" si="83"/>
        <v>00</v>
      </c>
      <c r="CX74" t="str">
        <f t="shared" si="84"/>
        <v>00</v>
      </c>
      <c r="CY74" t="str">
        <f t="shared" si="85"/>
        <v>00</v>
      </c>
      <c r="CZ74" t="str">
        <f t="shared" si="86"/>
        <v>00</v>
      </c>
      <c r="DA74" t="str">
        <f t="shared" si="87"/>
        <v>00</v>
      </c>
      <c r="DB74" t="str">
        <f t="shared" si="88"/>
        <v>07</v>
      </c>
      <c r="DC74" t="str">
        <f t="shared" si="89"/>
        <v>0104020203020100000000000000000000000007</v>
      </c>
      <c r="DD74" t="str">
        <f t="shared" si="90"/>
        <v>Request utama 3B Kiri</v>
      </c>
      <c r="DE74" t="s">
        <v>181</v>
      </c>
      <c r="DF74" t="s">
        <v>223</v>
      </c>
      <c r="DG74" t="s">
        <v>224</v>
      </c>
      <c r="DH74" t="s">
        <v>225</v>
      </c>
      <c r="DI74" t="s">
        <v>226</v>
      </c>
      <c r="DJ74" t="s">
        <v>227</v>
      </c>
      <c r="DK74" t="s">
        <v>228</v>
      </c>
      <c r="DL74" t="str">
        <f t="shared" si="91"/>
        <v>062,00,00,00,01,04,02,02,03,02,01,00,00,00,00,00,00,00,00,00,00,00,00,07,0104020203020100000000000000000000000007,Request utama 3B Kiri,file62,Blk1,Blk2,Blk3,Blk4,Blk5,Blk6</v>
      </c>
    </row>
    <row r="75" spans="2:116" x14ac:dyDescent="0.25">
      <c r="B75">
        <f t="shared" si="92"/>
        <v>63</v>
      </c>
      <c r="I75" t="s">
        <v>78</v>
      </c>
      <c r="W75">
        <f t="shared" si="115"/>
        <v>0</v>
      </c>
      <c r="X75">
        <f t="shared" si="116"/>
        <v>0</v>
      </c>
      <c r="Y75">
        <f t="shared" si="117"/>
        <v>0</v>
      </c>
      <c r="Z75">
        <f t="shared" si="118"/>
        <v>0</v>
      </c>
      <c r="AA75">
        <f t="shared" si="119"/>
        <v>0</v>
      </c>
      <c r="AB75">
        <f t="shared" si="120"/>
        <v>0</v>
      </c>
      <c r="AC75">
        <f t="shared" si="121"/>
        <v>1</v>
      </c>
      <c r="AD75">
        <f t="shared" si="122"/>
        <v>0</v>
      </c>
      <c r="AE75">
        <f t="shared" si="123"/>
        <v>0</v>
      </c>
      <c r="AF75">
        <f t="shared" si="124"/>
        <v>0</v>
      </c>
      <c r="AG75">
        <f t="shared" si="125"/>
        <v>0</v>
      </c>
      <c r="AH75">
        <f t="shared" si="126"/>
        <v>0</v>
      </c>
      <c r="AI75">
        <f t="shared" si="127"/>
        <v>0</v>
      </c>
      <c r="AJ75">
        <f t="shared" si="128"/>
        <v>0</v>
      </c>
      <c r="AK75">
        <f t="shared" si="129"/>
        <v>0</v>
      </c>
      <c r="AL75">
        <f t="shared" si="130"/>
        <v>0</v>
      </c>
      <c r="AM75">
        <f t="shared" si="131"/>
        <v>0</v>
      </c>
      <c r="AN75">
        <f t="shared" si="132"/>
        <v>0</v>
      </c>
      <c r="AO75">
        <f t="shared" si="133"/>
        <v>0</v>
      </c>
      <c r="AP75" s="2" t="str">
        <f t="shared" si="46"/>
        <v/>
      </c>
      <c r="AQ75" t="str">
        <f t="shared" si="140"/>
        <v>S</v>
      </c>
      <c r="AR75" t="str">
        <f t="shared" si="141"/>
        <v>S</v>
      </c>
      <c r="AS75" t="str">
        <f t="shared" si="142"/>
        <v>S</v>
      </c>
      <c r="AT75" t="str">
        <f t="shared" si="143"/>
        <v>S</v>
      </c>
      <c r="AU75" t="str">
        <f t="shared" si="144"/>
        <v>S</v>
      </c>
      <c r="AV75" t="str">
        <f t="shared" si="145"/>
        <v>S</v>
      </c>
      <c r="AW75" t="str">
        <f t="shared" si="146"/>
        <v>+</v>
      </c>
      <c r="AX75" t="str">
        <f t="shared" si="147"/>
        <v/>
      </c>
      <c r="AY75" t="str">
        <f t="shared" si="148"/>
        <v/>
      </c>
      <c r="AZ75" t="str">
        <f t="shared" si="149"/>
        <v/>
      </c>
      <c r="BA75" t="str">
        <f t="shared" si="150"/>
        <v/>
      </c>
      <c r="BB75" t="str">
        <f t="shared" si="151"/>
        <v/>
      </c>
      <c r="BC75" t="str">
        <f t="shared" si="152"/>
        <v/>
      </c>
      <c r="BD75" t="str">
        <f t="shared" si="153"/>
        <v/>
      </c>
      <c r="BE75" t="str">
        <f t="shared" si="154"/>
        <v/>
      </c>
      <c r="BF75" t="str">
        <f t="shared" si="155"/>
        <v/>
      </c>
      <c r="BG75" t="str">
        <f t="shared" si="156"/>
        <v/>
      </c>
      <c r="BH75" t="str">
        <f t="shared" si="157"/>
        <v/>
      </c>
      <c r="BI75" t="str">
        <f t="shared" si="158"/>
        <v/>
      </c>
      <c r="BK75">
        <f t="shared" si="48"/>
        <v>1</v>
      </c>
      <c r="BL75">
        <f t="shared" si="49"/>
        <v>4</v>
      </c>
      <c r="BM75">
        <f t="shared" si="50"/>
        <v>2</v>
      </c>
      <c r="BN75">
        <f t="shared" si="51"/>
        <v>2</v>
      </c>
      <c r="BO75">
        <f t="shared" si="52"/>
        <v>3</v>
      </c>
      <c r="BP75">
        <f t="shared" si="53"/>
        <v>2</v>
      </c>
      <c r="BQ75">
        <f t="shared" si="54"/>
        <v>2</v>
      </c>
      <c r="BR75">
        <f t="shared" si="55"/>
        <v>0</v>
      </c>
      <c r="BS75">
        <f t="shared" si="56"/>
        <v>0</v>
      </c>
      <c r="BT75">
        <f t="shared" si="57"/>
        <v>0</v>
      </c>
      <c r="BU75">
        <f t="shared" si="58"/>
        <v>0</v>
      </c>
      <c r="BV75">
        <f t="shared" si="59"/>
        <v>0</v>
      </c>
      <c r="BW75">
        <f t="shared" si="60"/>
        <v>0</v>
      </c>
      <c r="BX75">
        <f t="shared" si="61"/>
        <v>0</v>
      </c>
      <c r="BY75">
        <f t="shared" si="62"/>
        <v>0</v>
      </c>
      <c r="BZ75">
        <f t="shared" si="63"/>
        <v>0</v>
      </c>
      <c r="CA75">
        <f t="shared" si="64"/>
        <v>0</v>
      </c>
      <c r="CB75">
        <f t="shared" si="65"/>
        <v>0</v>
      </c>
      <c r="CC75">
        <f t="shared" si="66"/>
        <v>0</v>
      </c>
      <c r="CE75" t="str">
        <f t="shared" si="67"/>
        <v>063</v>
      </c>
      <c r="CF75" t="str">
        <f t="shared" si="159"/>
        <v>00</v>
      </c>
      <c r="CG75" t="str">
        <f t="shared" si="159"/>
        <v>00</v>
      </c>
      <c r="CH75" t="str">
        <f t="shared" si="159"/>
        <v>00</v>
      </c>
      <c r="CI75" t="str">
        <f t="shared" si="69"/>
        <v>01</v>
      </c>
      <c r="CJ75" t="str">
        <f t="shared" si="70"/>
        <v>04</v>
      </c>
      <c r="CK75" t="str">
        <f t="shared" si="71"/>
        <v>02</v>
      </c>
      <c r="CL75" t="str">
        <f t="shared" si="72"/>
        <v>02</v>
      </c>
      <c r="CM75" t="str">
        <f t="shared" si="73"/>
        <v>03</v>
      </c>
      <c r="CN75" t="str">
        <f t="shared" si="74"/>
        <v>02</v>
      </c>
      <c r="CO75" t="str">
        <f t="shared" si="75"/>
        <v>02</v>
      </c>
      <c r="CP75" t="str">
        <f t="shared" si="76"/>
        <v>00</v>
      </c>
      <c r="CQ75" t="str">
        <f t="shared" si="77"/>
        <v>00</v>
      </c>
      <c r="CR75" t="str">
        <f t="shared" si="78"/>
        <v>00</v>
      </c>
      <c r="CS75" t="str">
        <f t="shared" si="79"/>
        <v>00</v>
      </c>
      <c r="CT75" t="str">
        <f t="shared" si="80"/>
        <v>00</v>
      </c>
      <c r="CU75" t="str">
        <f t="shared" si="81"/>
        <v>00</v>
      </c>
      <c r="CV75" t="str">
        <f t="shared" si="82"/>
        <v>00</v>
      </c>
      <c r="CW75" t="str">
        <f t="shared" si="83"/>
        <v>00</v>
      </c>
      <c r="CX75" t="str">
        <f t="shared" si="84"/>
        <v>00</v>
      </c>
      <c r="CY75" t="str">
        <f t="shared" si="85"/>
        <v>00</v>
      </c>
      <c r="CZ75" t="str">
        <f t="shared" si="86"/>
        <v>00</v>
      </c>
      <c r="DA75" t="str">
        <f t="shared" si="87"/>
        <v>00</v>
      </c>
      <c r="DB75" t="str">
        <f t="shared" si="88"/>
        <v>07</v>
      </c>
      <c r="DC75" t="str">
        <f t="shared" si="89"/>
        <v>0104020203020200000000000000000000000007</v>
      </c>
      <c r="DD75" t="str">
        <f t="shared" si="90"/>
        <v>Request utama 3B Kanan</v>
      </c>
      <c r="DE75" t="s">
        <v>182</v>
      </c>
      <c r="DF75" t="s">
        <v>223</v>
      </c>
      <c r="DG75" t="s">
        <v>224</v>
      </c>
      <c r="DH75" t="s">
        <v>225</v>
      </c>
      <c r="DI75" t="s">
        <v>226</v>
      </c>
      <c r="DJ75" t="s">
        <v>227</v>
      </c>
      <c r="DK75" t="s">
        <v>228</v>
      </c>
      <c r="DL75" t="str">
        <f t="shared" si="91"/>
        <v>063,00,00,00,01,04,02,02,03,02,02,00,00,00,00,00,00,00,00,00,00,00,00,07,0104020203020200000000000000000000000007,Request utama 3B Kanan,file63,Blk1,Blk2,Blk3,Blk4,Blk5,Blk6</v>
      </c>
    </row>
    <row r="76" spans="2:116" x14ac:dyDescent="0.25">
      <c r="B76">
        <f t="shared" si="92"/>
        <v>64</v>
      </c>
      <c r="H76" t="s">
        <v>75</v>
      </c>
      <c r="W76">
        <f t="shared" si="115"/>
        <v>0</v>
      </c>
      <c r="X76">
        <f t="shared" si="116"/>
        <v>0</v>
      </c>
      <c r="Y76">
        <f t="shared" si="117"/>
        <v>0</v>
      </c>
      <c r="Z76">
        <f t="shared" si="118"/>
        <v>0</v>
      </c>
      <c r="AA76">
        <f t="shared" si="119"/>
        <v>0</v>
      </c>
      <c r="AB76">
        <f t="shared" si="120"/>
        <v>1</v>
      </c>
      <c r="AC76">
        <f t="shared" si="121"/>
        <v>0</v>
      </c>
      <c r="AD76">
        <f t="shared" si="122"/>
        <v>0</v>
      </c>
      <c r="AE76">
        <f t="shared" si="123"/>
        <v>0</v>
      </c>
      <c r="AF76">
        <f t="shared" si="124"/>
        <v>0</v>
      </c>
      <c r="AG76">
        <f t="shared" si="125"/>
        <v>0</v>
      </c>
      <c r="AH76">
        <f t="shared" si="126"/>
        <v>0</v>
      </c>
      <c r="AI76">
        <f t="shared" si="127"/>
        <v>0</v>
      </c>
      <c r="AJ76">
        <f t="shared" si="128"/>
        <v>0</v>
      </c>
      <c r="AK76">
        <f t="shared" si="129"/>
        <v>0</v>
      </c>
      <c r="AL76">
        <f t="shared" si="130"/>
        <v>0</v>
      </c>
      <c r="AM76">
        <f t="shared" si="131"/>
        <v>0</v>
      </c>
      <c r="AN76">
        <f t="shared" si="132"/>
        <v>0</v>
      </c>
      <c r="AO76">
        <f t="shared" si="133"/>
        <v>0</v>
      </c>
      <c r="AP76" s="2" t="str">
        <f t="shared" si="46"/>
        <v/>
      </c>
      <c r="AQ76" t="str">
        <f t="shared" si="140"/>
        <v>S</v>
      </c>
      <c r="AR76" t="str">
        <f t="shared" si="141"/>
        <v>S</v>
      </c>
      <c r="AS76" t="str">
        <f t="shared" si="142"/>
        <v>S</v>
      </c>
      <c r="AT76" t="str">
        <f t="shared" si="143"/>
        <v>S</v>
      </c>
      <c r="AU76" t="str">
        <f t="shared" si="144"/>
        <v>S</v>
      </c>
      <c r="AV76" t="str">
        <f t="shared" si="145"/>
        <v>+</v>
      </c>
      <c r="AW76" t="str">
        <f t="shared" si="146"/>
        <v/>
      </c>
      <c r="AX76" t="str">
        <f t="shared" si="147"/>
        <v/>
      </c>
      <c r="AY76" t="str">
        <f t="shared" si="148"/>
        <v/>
      </c>
      <c r="AZ76" t="str">
        <f t="shared" si="149"/>
        <v/>
      </c>
      <c r="BA76" t="str">
        <f t="shared" si="150"/>
        <v/>
      </c>
      <c r="BB76" t="str">
        <f t="shared" si="151"/>
        <v/>
      </c>
      <c r="BC76" t="str">
        <f t="shared" si="152"/>
        <v/>
      </c>
      <c r="BD76" t="str">
        <f t="shared" si="153"/>
        <v/>
      </c>
      <c r="BE76" t="str">
        <f t="shared" si="154"/>
        <v/>
      </c>
      <c r="BF76" t="str">
        <f t="shared" si="155"/>
        <v/>
      </c>
      <c r="BG76" t="str">
        <f t="shared" si="156"/>
        <v/>
      </c>
      <c r="BH76" t="str">
        <f t="shared" si="157"/>
        <v/>
      </c>
      <c r="BI76" t="str">
        <f t="shared" si="158"/>
        <v/>
      </c>
      <c r="BK76">
        <f t="shared" si="48"/>
        <v>1</v>
      </c>
      <c r="BL76">
        <f t="shared" si="49"/>
        <v>4</v>
      </c>
      <c r="BM76">
        <f t="shared" si="50"/>
        <v>2</v>
      </c>
      <c r="BN76">
        <f t="shared" si="51"/>
        <v>2</v>
      </c>
      <c r="BO76">
        <f t="shared" si="52"/>
        <v>3</v>
      </c>
      <c r="BP76">
        <f t="shared" si="53"/>
        <v>3</v>
      </c>
      <c r="BQ76">
        <f t="shared" si="54"/>
        <v>0</v>
      </c>
      <c r="BR76">
        <f t="shared" si="55"/>
        <v>0</v>
      </c>
      <c r="BS76">
        <f t="shared" si="56"/>
        <v>0</v>
      </c>
      <c r="BT76">
        <f t="shared" si="57"/>
        <v>0</v>
      </c>
      <c r="BU76">
        <f t="shared" si="58"/>
        <v>0</v>
      </c>
      <c r="BV76">
        <f t="shared" si="59"/>
        <v>0</v>
      </c>
      <c r="BW76">
        <f t="shared" si="60"/>
        <v>0</v>
      </c>
      <c r="BX76">
        <f t="shared" si="61"/>
        <v>0</v>
      </c>
      <c r="BY76">
        <f t="shared" si="62"/>
        <v>0</v>
      </c>
      <c r="BZ76">
        <f t="shared" si="63"/>
        <v>0</v>
      </c>
      <c r="CA76">
        <f t="shared" si="64"/>
        <v>0</v>
      </c>
      <c r="CB76">
        <f t="shared" si="65"/>
        <v>0</v>
      </c>
      <c r="CC76">
        <f t="shared" si="66"/>
        <v>0</v>
      </c>
      <c r="CE76" t="str">
        <f t="shared" si="67"/>
        <v>064</v>
      </c>
      <c r="CF76" t="str">
        <f t="shared" si="159"/>
        <v>00</v>
      </c>
      <c r="CG76" t="str">
        <f t="shared" si="159"/>
        <v>00</v>
      </c>
      <c r="CH76" t="str">
        <f t="shared" si="159"/>
        <v>00</v>
      </c>
      <c r="CI76" t="str">
        <f t="shared" si="69"/>
        <v>01</v>
      </c>
      <c r="CJ76" t="str">
        <f t="shared" si="70"/>
        <v>04</v>
      </c>
      <c r="CK76" t="str">
        <f t="shared" si="71"/>
        <v>02</v>
      </c>
      <c r="CL76" t="str">
        <f t="shared" si="72"/>
        <v>02</v>
      </c>
      <c r="CM76" t="str">
        <f t="shared" si="73"/>
        <v>03</v>
      </c>
      <c r="CN76" t="str">
        <f t="shared" si="74"/>
        <v>03</v>
      </c>
      <c r="CO76" t="str">
        <f t="shared" si="75"/>
        <v>00</v>
      </c>
      <c r="CP76" t="str">
        <f t="shared" si="76"/>
        <v>00</v>
      </c>
      <c r="CQ76" t="str">
        <f t="shared" si="77"/>
        <v>00</v>
      </c>
      <c r="CR76" t="str">
        <f t="shared" si="78"/>
        <v>00</v>
      </c>
      <c r="CS76" t="str">
        <f t="shared" si="79"/>
        <v>00</v>
      </c>
      <c r="CT76" t="str">
        <f t="shared" si="80"/>
        <v>00</v>
      </c>
      <c r="CU76" t="str">
        <f t="shared" si="81"/>
        <v>00</v>
      </c>
      <c r="CV76" t="str">
        <f t="shared" si="82"/>
        <v>00</v>
      </c>
      <c r="CW76" t="str">
        <f t="shared" si="83"/>
        <v>00</v>
      </c>
      <c r="CX76" t="str">
        <f t="shared" si="84"/>
        <v>00</v>
      </c>
      <c r="CY76" t="str">
        <f t="shared" si="85"/>
        <v>00</v>
      </c>
      <c r="CZ76" t="str">
        <f t="shared" si="86"/>
        <v>00</v>
      </c>
      <c r="DA76" t="str">
        <f t="shared" si="87"/>
        <v>00</v>
      </c>
      <c r="DB76" t="str">
        <f t="shared" si="88"/>
        <v>06</v>
      </c>
      <c r="DC76" t="str">
        <f t="shared" si="89"/>
        <v>0104020203030000000000000000000000000006</v>
      </c>
      <c r="DD76" t="str">
        <f t="shared" si="90"/>
        <v>Request utama 3C</v>
      </c>
      <c r="DE76" t="s">
        <v>183</v>
      </c>
      <c r="DF76" t="s">
        <v>223</v>
      </c>
      <c r="DG76" t="s">
        <v>224</v>
      </c>
      <c r="DH76" t="s">
        <v>225</v>
      </c>
      <c r="DI76" t="s">
        <v>226</v>
      </c>
      <c r="DJ76" t="s">
        <v>227</v>
      </c>
      <c r="DK76" t="s">
        <v>228</v>
      </c>
      <c r="DL76" t="str">
        <f t="shared" si="91"/>
        <v>064,00,00,00,01,04,02,02,03,03,00,00,00,00,00,00,00,00,00,00,00,00,00,06,0104020203030000000000000000000000000006,Request utama 3C,file64,Blk1,Blk2,Blk3,Blk4,Blk5,Blk6</v>
      </c>
    </row>
    <row r="77" spans="2:116" x14ac:dyDescent="0.25">
      <c r="B77">
        <f t="shared" si="92"/>
        <v>65</v>
      </c>
      <c r="H77" t="s">
        <v>76</v>
      </c>
      <c r="W77">
        <f t="shared" si="115"/>
        <v>0</v>
      </c>
      <c r="X77">
        <f t="shared" si="116"/>
        <v>0</v>
      </c>
      <c r="Y77">
        <f t="shared" si="117"/>
        <v>0</v>
      </c>
      <c r="Z77">
        <f t="shared" si="118"/>
        <v>0</v>
      </c>
      <c r="AA77">
        <f t="shared" si="119"/>
        <v>0</v>
      </c>
      <c r="AB77">
        <f t="shared" si="120"/>
        <v>1</v>
      </c>
      <c r="AC77">
        <f t="shared" si="121"/>
        <v>0</v>
      </c>
      <c r="AD77">
        <f t="shared" si="122"/>
        <v>0</v>
      </c>
      <c r="AE77">
        <f t="shared" si="123"/>
        <v>0</v>
      </c>
      <c r="AF77">
        <f t="shared" si="124"/>
        <v>0</v>
      </c>
      <c r="AG77">
        <f t="shared" si="125"/>
        <v>0</v>
      </c>
      <c r="AH77">
        <f t="shared" si="126"/>
        <v>0</v>
      </c>
      <c r="AI77">
        <f t="shared" si="127"/>
        <v>0</v>
      </c>
      <c r="AJ77">
        <f t="shared" si="128"/>
        <v>0</v>
      </c>
      <c r="AK77">
        <f t="shared" si="129"/>
        <v>0</v>
      </c>
      <c r="AL77">
        <f t="shared" si="130"/>
        <v>0</v>
      </c>
      <c r="AM77">
        <f t="shared" si="131"/>
        <v>0</v>
      </c>
      <c r="AN77">
        <f t="shared" si="132"/>
        <v>0</v>
      </c>
      <c r="AO77">
        <f t="shared" si="133"/>
        <v>0</v>
      </c>
      <c r="AP77" s="2" t="str">
        <f t="shared" si="46"/>
        <v/>
      </c>
      <c r="AQ77" t="str">
        <f t="shared" si="140"/>
        <v>S</v>
      </c>
      <c r="AR77" t="str">
        <f t="shared" si="141"/>
        <v>S</v>
      </c>
      <c r="AS77" t="str">
        <f t="shared" si="142"/>
        <v>S</v>
      </c>
      <c r="AT77" t="str">
        <f t="shared" si="143"/>
        <v>S</v>
      </c>
      <c r="AU77" t="str">
        <f t="shared" si="144"/>
        <v>S</v>
      </c>
      <c r="AV77" t="str">
        <f t="shared" si="145"/>
        <v>+</v>
      </c>
      <c r="AW77" t="str">
        <f t="shared" si="146"/>
        <v/>
      </c>
      <c r="AX77" t="str">
        <f t="shared" si="147"/>
        <v/>
      </c>
      <c r="AY77" t="str">
        <f t="shared" si="148"/>
        <v/>
      </c>
      <c r="AZ77" t="str">
        <f t="shared" si="149"/>
        <v/>
      </c>
      <c r="BA77" t="str">
        <f t="shared" si="150"/>
        <v/>
      </c>
      <c r="BB77" t="str">
        <f t="shared" si="151"/>
        <v/>
      </c>
      <c r="BC77" t="str">
        <f t="shared" si="152"/>
        <v/>
      </c>
      <c r="BD77" t="str">
        <f t="shared" si="153"/>
        <v/>
      </c>
      <c r="BE77" t="str">
        <f t="shared" si="154"/>
        <v/>
      </c>
      <c r="BF77" t="str">
        <f t="shared" si="155"/>
        <v/>
      </c>
      <c r="BG77" t="str">
        <f t="shared" si="156"/>
        <v/>
      </c>
      <c r="BH77" t="str">
        <f t="shared" si="157"/>
        <v/>
      </c>
      <c r="BI77" t="str">
        <f t="shared" si="158"/>
        <v/>
      </c>
      <c r="BK77">
        <f t="shared" si="48"/>
        <v>1</v>
      </c>
      <c r="BL77">
        <f t="shared" si="49"/>
        <v>4</v>
      </c>
      <c r="BM77">
        <f t="shared" si="50"/>
        <v>2</v>
      </c>
      <c r="BN77">
        <f t="shared" si="51"/>
        <v>2</v>
      </c>
      <c r="BO77">
        <f t="shared" si="52"/>
        <v>3</v>
      </c>
      <c r="BP77">
        <f t="shared" si="53"/>
        <v>4</v>
      </c>
      <c r="BQ77">
        <f t="shared" si="54"/>
        <v>0</v>
      </c>
      <c r="BR77">
        <f t="shared" si="55"/>
        <v>0</v>
      </c>
      <c r="BS77">
        <f t="shared" si="56"/>
        <v>0</v>
      </c>
      <c r="BT77">
        <f t="shared" si="57"/>
        <v>0</v>
      </c>
      <c r="BU77">
        <f t="shared" si="58"/>
        <v>0</v>
      </c>
      <c r="BV77">
        <f t="shared" si="59"/>
        <v>0</v>
      </c>
      <c r="BW77">
        <f t="shared" si="60"/>
        <v>0</v>
      </c>
      <c r="BX77">
        <f t="shared" si="61"/>
        <v>0</v>
      </c>
      <c r="BY77">
        <f t="shared" si="62"/>
        <v>0</v>
      </c>
      <c r="BZ77">
        <f t="shared" si="63"/>
        <v>0</v>
      </c>
      <c r="CA77">
        <f t="shared" si="64"/>
        <v>0</v>
      </c>
      <c r="CB77">
        <f t="shared" si="65"/>
        <v>0</v>
      </c>
      <c r="CC77">
        <f t="shared" si="66"/>
        <v>0</v>
      </c>
      <c r="CE77" t="str">
        <f t="shared" si="67"/>
        <v>065</v>
      </c>
      <c r="CF77" t="str">
        <f t="shared" si="159"/>
        <v>00</v>
      </c>
      <c r="CG77" t="str">
        <f t="shared" si="159"/>
        <v>00</v>
      </c>
      <c r="CH77" t="str">
        <f t="shared" si="159"/>
        <v>00</v>
      </c>
      <c r="CI77" t="str">
        <f t="shared" si="69"/>
        <v>01</v>
      </c>
      <c r="CJ77" t="str">
        <f t="shared" si="70"/>
        <v>04</v>
      </c>
      <c r="CK77" t="str">
        <f t="shared" si="71"/>
        <v>02</v>
      </c>
      <c r="CL77" t="str">
        <f t="shared" si="72"/>
        <v>02</v>
      </c>
      <c r="CM77" t="str">
        <f t="shared" si="73"/>
        <v>03</v>
      </c>
      <c r="CN77" t="str">
        <f t="shared" si="74"/>
        <v>04</v>
      </c>
      <c r="CO77" t="str">
        <f t="shared" si="75"/>
        <v>00</v>
      </c>
      <c r="CP77" t="str">
        <f t="shared" si="76"/>
        <v>00</v>
      </c>
      <c r="CQ77" t="str">
        <f t="shared" si="77"/>
        <v>00</v>
      </c>
      <c r="CR77" t="str">
        <f t="shared" si="78"/>
        <v>00</v>
      </c>
      <c r="CS77" t="str">
        <f t="shared" si="79"/>
        <v>00</v>
      </c>
      <c r="CT77" t="str">
        <f t="shared" si="80"/>
        <v>00</v>
      </c>
      <c r="CU77" t="str">
        <f t="shared" si="81"/>
        <v>00</v>
      </c>
      <c r="CV77" t="str">
        <f t="shared" si="82"/>
        <v>00</v>
      </c>
      <c r="CW77" t="str">
        <f t="shared" si="83"/>
        <v>00</v>
      </c>
      <c r="CX77" t="str">
        <f t="shared" si="84"/>
        <v>00</v>
      </c>
      <c r="CY77" t="str">
        <f t="shared" si="85"/>
        <v>00</v>
      </c>
      <c r="CZ77" t="str">
        <f t="shared" si="86"/>
        <v>00</v>
      </c>
      <c r="DA77" t="str">
        <f t="shared" si="87"/>
        <v>00</v>
      </c>
      <c r="DB77" t="str">
        <f t="shared" si="88"/>
        <v>06</v>
      </c>
      <c r="DC77" t="str">
        <f t="shared" si="89"/>
        <v>0104020203040000000000000000000000000006</v>
      </c>
      <c r="DD77" t="str">
        <f t="shared" si="90"/>
        <v>Request utama 3D</v>
      </c>
      <c r="DE77" t="s">
        <v>184</v>
      </c>
      <c r="DF77" t="s">
        <v>223</v>
      </c>
      <c r="DG77" t="s">
        <v>224</v>
      </c>
      <c r="DH77" t="s">
        <v>225</v>
      </c>
      <c r="DI77" t="s">
        <v>226</v>
      </c>
      <c r="DJ77" t="s">
        <v>227</v>
      </c>
      <c r="DK77" t="s">
        <v>228</v>
      </c>
      <c r="DL77" t="str">
        <f t="shared" si="91"/>
        <v>065,00,00,00,01,04,02,02,03,04,00,00,00,00,00,00,00,00,00,00,00,00,00,06,0104020203040000000000000000000000000006,Request utama 3D,file65,Blk1,Blk2,Blk3,Blk4,Blk5,Blk6</v>
      </c>
    </row>
    <row r="78" spans="2:116" x14ac:dyDescent="0.25">
      <c r="B78">
        <f t="shared" si="92"/>
        <v>66</v>
      </c>
      <c r="F78" t="s">
        <v>79</v>
      </c>
      <c r="W78">
        <f t="shared" si="115"/>
        <v>0</v>
      </c>
      <c r="X78">
        <f t="shared" si="116"/>
        <v>0</v>
      </c>
      <c r="Y78">
        <f t="shared" si="117"/>
        <v>0</v>
      </c>
      <c r="Z78">
        <f t="shared" si="118"/>
        <v>1</v>
      </c>
      <c r="AA78">
        <f t="shared" si="119"/>
        <v>0</v>
      </c>
      <c r="AB78">
        <f t="shared" si="120"/>
        <v>0</v>
      </c>
      <c r="AC78">
        <f t="shared" si="121"/>
        <v>0</v>
      </c>
      <c r="AD78">
        <f t="shared" si="122"/>
        <v>0</v>
      </c>
      <c r="AE78">
        <f t="shared" si="123"/>
        <v>0</v>
      </c>
      <c r="AF78">
        <f t="shared" si="124"/>
        <v>0</v>
      </c>
      <c r="AG78">
        <f t="shared" si="125"/>
        <v>0</v>
      </c>
      <c r="AH78">
        <f t="shared" si="126"/>
        <v>0</v>
      </c>
      <c r="AI78">
        <f t="shared" si="127"/>
        <v>0</v>
      </c>
      <c r="AJ78">
        <f t="shared" si="128"/>
        <v>0</v>
      </c>
      <c r="AK78">
        <f t="shared" si="129"/>
        <v>0</v>
      </c>
      <c r="AL78">
        <f t="shared" si="130"/>
        <v>0</v>
      </c>
      <c r="AM78">
        <f t="shared" si="131"/>
        <v>0</v>
      </c>
      <c r="AN78">
        <f t="shared" si="132"/>
        <v>0</v>
      </c>
      <c r="AO78">
        <f t="shared" si="133"/>
        <v>0</v>
      </c>
      <c r="AP78" s="2" t="str">
        <f t="shared" ref="AP78:AP118" si="160">IF(SUM(W78:AO78)&gt;1,"Error","")</f>
        <v/>
      </c>
      <c r="AQ78" t="str">
        <f t="shared" si="140"/>
        <v>S</v>
      </c>
      <c r="AR78" t="str">
        <f t="shared" si="141"/>
        <v>S</v>
      </c>
      <c r="AS78" t="str">
        <f t="shared" si="142"/>
        <v>S</v>
      </c>
      <c r="AT78" t="str">
        <f t="shared" si="143"/>
        <v>+</v>
      </c>
      <c r="AU78" t="str">
        <f t="shared" si="144"/>
        <v/>
      </c>
      <c r="AV78" t="str">
        <f t="shared" si="145"/>
        <v/>
      </c>
      <c r="AW78" t="str">
        <f t="shared" si="146"/>
        <v/>
      </c>
      <c r="AX78" t="str">
        <f t="shared" si="147"/>
        <v/>
      </c>
      <c r="AY78" t="str">
        <f t="shared" si="148"/>
        <v/>
      </c>
      <c r="AZ78" t="str">
        <f t="shared" si="149"/>
        <v/>
      </c>
      <c r="BA78" t="str">
        <f t="shared" si="150"/>
        <v/>
      </c>
      <c r="BB78" t="str">
        <f t="shared" si="151"/>
        <v/>
      </c>
      <c r="BC78" t="str">
        <f t="shared" si="152"/>
        <v/>
      </c>
      <c r="BD78" t="str">
        <f t="shared" si="153"/>
        <v/>
      </c>
      <c r="BE78" t="str">
        <f t="shared" si="154"/>
        <v/>
      </c>
      <c r="BF78" t="str">
        <f t="shared" si="155"/>
        <v/>
      </c>
      <c r="BG78" t="str">
        <f t="shared" si="156"/>
        <v/>
      </c>
      <c r="BH78" t="str">
        <f t="shared" si="157"/>
        <v/>
      </c>
      <c r="BI78" t="str">
        <f t="shared" si="158"/>
        <v/>
      </c>
      <c r="BK78">
        <f t="shared" ref="BK78:BK118" si="161">IF(AQ78=1,1,IF(AQ78="S",BK77,IF(AQ78="+",BK77+1,0)))</f>
        <v>1</v>
      </c>
      <c r="BL78">
        <f t="shared" ref="BL78:BL118" si="162">IF(AR78=1,1,IF(AR78="S",BL77,IF(AR78="+",BL77+1,0)))</f>
        <v>4</v>
      </c>
      <c r="BM78">
        <f t="shared" ref="BM78:BM118" si="163">IF(AS78=1,1,IF(AS78="S",BM77,IF(AS78="+",BM77+1,0)))</f>
        <v>2</v>
      </c>
      <c r="BN78">
        <f t="shared" ref="BN78:BN118" si="164">IF(AT78=1,1,IF(AT78="S",BN77,IF(AT78="+",BN77+1,0)))</f>
        <v>3</v>
      </c>
      <c r="BO78">
        <f t="shared" ref="BO78:BO118" si="165">IF(AU78=1,1,IF(AU78="S",BO77,IF(AU78="+",BO77+1,0)))</f>
        <v>0</v>
      </c>
      <c r="BP78">
        <f t="shared" ref="BP78:BP118" si="166">IF(AV78=1,1,IF(AV78="S",BP77,IF(AV78="+",BP77+1,0)))</f>
        <v>0</v>
      </c>
      <c r="BQ78">
        <f t="shared" ref="BQ78:BQ118" si="167">IF(AW78=1,1,IF(AW78="S",BQ77,IF(AW78="+",BQ77+1,0)))</f>
        <v>0</v>
      </c>
      <c r="BR78">
        <f t="shared" ref="BR78:BR118" si="168">IF(AX78=1,1,IF(AX78="S",BR77,IF(AX78="+",BR77+1,0)))</f>
        <v>0</v>
      </c>
      <c r="BS78">
        <f t="shared" ref="BS78:BS118" si="169">IF(AY78=1,1,IF(AY78="S",BS77,IF(AY78="+",BS77+1,0)))</f>
        <v>0</v>
      </c>
      <c r="BT78">
        <f t="shared" ref="BT78:BT118" si="170">IF(AZ78=1,1,IF(AZ78="S",BT77,IF(AZ78="+",BT77+1,0)))</f>
        <v>0</v>
      </c>
      <c r="BU78">
        <f t="shared" ref="BU78:BU118" si="171">IF(BA78=1,1,IF(BA78="S",BU77,IF(BA78="+",BU77+1,0)))</f>
        <v>0</v>
      </c>
      <c r="BV78">
        <f t="shared" ref="BV78:BV118" si="172">IF(BB78=1,1,IF(BB78="S",BV77,IF(BB78="+",BV77+1,0)))</f>
        <v>0</v>
      </c>
      <c r="BW78">
        <f t="shared" ref="BW78:BW118" si="173">IF(BC78=1,1,IF(BC78="S",BW77,IF(BC78="+",BW77+1,0)))</f>
        <v>0</v>
      </c>
      <c r="BX78">
        <f t="shared" ref="BX78:BX118" si="174">IF(BD78=1,1,IF(BD78="S",BX77,IF(BD78="+",BX77+1,0)))</f>
        <v>0</v>
      </c>
      <c r="BY78">
        <f t="shared" ref="BY78:BY118" si="175">IF(BE78=1,1,IF(BE78="S",BY77,IF(BE78="+",BY77+1,0)))</f>
        <v>0</v>
      </c>
      <c r="BZ78">
        <f t="shared" ref="BZ78:BZ118" si="176">IF(BF78=1,1,IF(BF78="S",BZ77,IF(BF78="+",BZ77+1,0)))</f>
        <v>0</v>
      </c>
      <c r="CA78">
        <f t="shared" ref="CA78:CA118" si="177">IF(BG78=1,1,IF(BG78="S",CA77,IF(BG78="+",CA77+1,0)))</f>
        <v>0</v>
      </c>
      <c r="CB78">
        <f t="shared" ref="CB78:CB118" si="178">IF(BH78=1,1,IF(BH78="S",CB77,IF(BH78="+",CB77+1,0)))</f>
        <v>0</v>
      </c>
      <c r="CC78">
        <f t="shared" ref="CC78:CC118" si="179">IF(BI78=1,1,IF(BI78="S",CC77,IF(BI78="+",CC77+1,0)))</f>
        <v>0</v>
      </c>
      <c r="CE78" t="str">
        <f t="shared" ref="CE78:CE118" si="180">TEXT(B78,"000")</f>
        <v>066</v>
      </c>
      <c r="CF78" t="str">
        <f t="shared" ref="CF78:CH119" si="181">TEXT(0,"00")</f>
        <v>00</v>
      </c>
      <c r="CG78" t="str">
        <f t="shared" si="181"/>
        <v>00</v>
      </c>
      <c r="CH78" t="str">
        <f t="shared" si="181"/>
        <v>00</v>
      </c>
      <c r="CI78" t="str">
        <f t="shared" ref="CI78:CI118" si="182">TEXT(BK78,"00")</f>
        <v>01</v>
      </c>
      <c r="CJ78" t="str">
        <f t="shared" ref="CJ78:CJ118" si="183">TEXT(BL78,"00")</f>
        <v>04</v>
      </c>
      <c r="CK78" t="str">
        <f t="shared" ref="CK78:CK118" si="184">TEXT(BM78,"00")</f>
        <v>02</v>
      </c>
      <c r="CL78" t="str">
        <f t="shared" ref="CL78:CL118" si="185">TEXT(BN78,"00")</f>
        <v>03</v>
      </c>
      <c r="CM78" t="str">
        <f t="shared" ref="CM78:CM118" si="186">TEXT(BO78,"00")</f>
        <v>00</v>
      </c>
      <c r="CN78" t="str">
        <f t="shared" ref="CN78:CN118" si="187">TEXT(BP78,"00")</f>
        <v>00</v>
      </c>
      <c r="CO78" t="str">
        <f t="shared" ref="CO78:CO118" si="188">TEXT(BQ78,"00")</f>
        <v>00</v>
      </c>
      <c r="CP78" t="str">
        <f t="shared" ref="CP78:CP118" si="189">TEXT(BR78,"00")</f>
        <v>00</v>
      </c>
      <c r="CQ78" t="str">
        <f t="shared" ref="CQ78:CQ118" si="190">TEXT(BS78,"00")</f>
        <v>00</v>
      </c>
      <c r="CR78" t="str">
        <f t="shared" ref="CR78:CR118" si="191">TEXT(BT78,"00")</f>
        <v>00</v>
      </c>
      <c r="CS78" t="str">
        <f t="shared" ref="CS78:CS118" si="192">TEXT(BU78,"00")</f>
        <v>00</v>
      </c>
      <c r="CT78" t="str">
        <f t="shared" ref="CT78:CT118" si="193">TEXT(BV78,"00")</f>
        <v>00</v>
      </c>
      <c r="CU78" t="str">
        <f t="shared" ref="CU78:CU118" si="194">TEXT(BW78,"00")</f>
        <v>00</v>
      </c>
      <c r="CV78" t="str">
        <f t="shared" ref="CV78:CV118" si="195">TEXT(BX78,"00")</f>
        <v>00</v>
      </c>
      <c r="CW78" t="str">
        <f t="shared" ref="CW78:CW118" si="196">TEXT(BY78,"00")</f>
        <v>00</v>
      </c>
      <c r="CX78" t="str">
        <f t="shared" ref="CX78:CX118" si="197">TEXT(BZ78,"00")</f>
        <v>00</v>
      </c>
      <c r="CY78" t="str">
        <f t="shared" ref="CY78:CY118" si="198">TEXT(CA78,"00")</f>
        <v>00</v>
      </c>
      <c r="CZ78" t="str">
        <f t="shared" ref="CZ78:CZ118" si="199">TEXT(CB78,"00")</f>
        <v>00</v>
      </c>
      <c r="DA78" t="str">
        <f t="shared" ref="DA78:DA118" si="200">TEXT(CC78,"00")</f>
        <v>00</v>
      </c>
      <c r="DB78" t="str">
        <f t="shared" ref="DB78:DB118" si="201">TEXT(19-COUNTIF(CI78:DA78,"=00"),"00")</f>
        <v>04</v>
      </c>
      <c r="DC78" t="str">
        <f t="shared" ref="DC78:DC118" si="202">_xlfn.CONCAT(CI78:DB78)</f>
        <v>0104020300000000000000000000000000000004</v>
      </c>
      <c r="DD78" t="str">
        <f t="shared" ref="DD78:DD118" si="203">_xlfn.CONCAT(C78:U78)</f>
        <v>Request bukan utama</v>
      </c>
      <c r="DE78" t="s">
        <v>185</v>
      </c>
      <c r="DF78" t="s">
        <v>223</v>
      </c>
      <c r="DG78" t="s">
        <v>224</v>
      </c>
      <c r="DH78" t="s">
        <v>225</v>
      </c>
      <c r="DI78" t="s">
        <v>226</v>
      </c>
      <c r="DJ78" t="s">
        <v>227</v>
      </c>
      <c r="DK78" t="s">
        <v>228</v>
      </c>
      <c r="DL78" t="str">
        <f t="shared" ref="DL78:DL118" si="204">_xlfn.TEXTJOIN(",", TRUE,CE78:DK78)</f>
        <v>066,00,00,00,01,04,02,03,00,00,00,00,00,00,00,00,00,00,00,00,00,00,00,04,0104020300000000000000000000000000000004,Request bukan utama,file66,Blk1,Blk2,Blk3,Blk4,Blk5,Blk6</v>
      </c>
    </row>
    <row r="79" spans="2:116" x14ac:dyDescent="0.25">
      <c r="B79">
        <f t="shared" ref="B79:B131" si="205">B78+1</f>
        <v>67</v>
      </c>
      <c r="F79" t="s">
        <v>80</v>
      </c>
      <c r="W79">
        <f t="shared" si="115"/>
        <v>0</v>
      </c>
      <c r="X79">
        <f t="shared" si="116"/>
        <v>0</v>
      </c>
      <c r="Y79">
        <f t="shared" si="117"/>
        <v>0</v>
      </c>
      <c r="Z79">
        <f t="shared" si="118"/>
        <v>1</v>
      </c>
      <c r="AA79">
        <f t="shared" si="119"/>
        <v>0</v>
      </c>
      <c r="AB79">
        <f t="shared" si="120"/>
        <v>0</v>
      </c>
      <c r="AC79">
        <f t="shared" si="121"/>
        <v>0</v>
      </c>
      <c r="AD79">
        <f t="shared" si="122"/>
        <v>0</v>
      </c>
      <c r="AE79">
        <f t="shared" si="123"/>
        <v>0</v>
      </c>
      <c r="AF79">
        <f t="shared" si="124"/>
        <v>0</v>
      </c>
      <c r="AG79">
        <f t="shared" si="125"/>
        <v>0</v>
      </c>
      <c r="AH79">
        <f t="shared" si="126"/>
        <v>0</v>
      </c>
      <c r="AI79">
        <f t="shared" si="127"/>
        <v>0</v>
      </c>
      <c r="AJ79">
        <f t="shared" si="128"/>
        <v>0</v>
      </c>
      <c r="AK79">
        <f t="shared" si="129"/>
        <v>0</v>
      </c>
      <c r="AL79">
        <f t="shared" si="130"/>
        <v>0</v>
      </c>
      <c r="AM79">
        <f t="shared" si="131"/>
        <v>0</v>
      </c>
      <c r="AN79">
        <f t="shared" si="132"/>
        <v>0</v>
      </c>
      <c r="AO79">
        <f t="shared" si="133"/>
        <v>0</v>
      </c>
      <c r="AP79" s="2" t="str">
        <f t="shared" si="160"/>
        <v/>
      </c>
      <c r="AQ79" t="str">
        <f t="shared" si="140"/>
        <v>S</v>
      </c>
      <c r="AR79" t="str">
        <f t="shared" si="141"/>
        <v>S</v>
      </c>
      <c r="AS79" t="str">
        <f t="shared" si="142"/>
        <v>S</v>
      </c>
      <c r="AT79" t="str">
        <f t="shared" si="143"/>
        <v>+</v>
      </c>
      <c r="AU79" t="str">
        <f t="shared" si="144"/>
        <v/>
      </c>
      <c r="AV79" t="str">
        <f t="shared" si="145"/>
        <v/>
      </c>
      <c r="AW79" t="str">
        <f t="shared" si="146"/>
        <v/>
      </c>
      <c r="AX79" t="str">
        <f t="shared" si="147"/>
        <v/>
      </c>
      <c r="AY79" t="str">
        <f t="shared" si="148"/>
        <v/>
      </c>
      <c r="AZ79" t="str">
        <f t="shared" si="149"/>
        <v/>
      </c>
      <c r="BA79" t="str">
        <f t="shared" si="150"/>
        <v/>
      </c>
      <c r="BB79" t="str">
        <f t="shared" si="151"/>
        <v/>
      </c>
      <c r="BC79" t="str">
        <f t="shared" si="152"/>
        <v/>
      </c>
      <c r="BD79" t="str">
        <f t="shared" si="153"/>
        <v/>
      </c>
      <c r="BE79" t="str">
        <f t="shared" si="154"/>
        <v/>
      </c>
      <c r="BF79" t="str">
        <f t="shared" si="155"/>
        <v/>
      </c>
      <c r="BG79" t="str">
        <f t="shared" si="156"/>
        <v/>
      </c>
      <c r="BH79" t="str">
        <f t="shared" si="157"/>
        <v/>
      </c>
      <c r="BI79" t="str">
        <f t="shared" si="158"/>
        <v/>
      </c>
      <c r="BK79">
        <f t="shared" si="161"/>
        <v>1</v>
      </c>
      <c r="BL79">
        <f t="shared" si="162"/>
        <v>4</v>
      </c>
      <c r="BM79">
        <f t="shared" si="163"/>
        <v>2</v>
      </c>
      <c r="BN79">
        <f t="shared" si="164"/>
        <v>4</v>
      </c>
      <c r="BO79">
        <f t="shared" si="165"/>
        <v>0</v>
      </c>
      <c r="BP79">
        <f t="shared" si="166"/>
        <v>0</v>
      </c>
      <c r="BQ79">
        <f t="shared" si="167"/>
        <v>0</v>
      </c>
      <c r="BR79">
        <f t="shared" si="168"/>
        <v>0</v>
      </c>
      <c r="BS79">
        <f t="shared" si="169"/>
        <v>0</v>
      </c>
      <c r="BT79">
        <f t="shared" si="170"/>
        <v>0</v>
      </c>
      <c r="BU79">
        <f t="shared" si="171"/>
        <v>0</v>
      </c>
      <c r="BV79">
        <f t="shared" si="172"/>
        <v>0</v>
      </c>
      <c r="BW79">
        <f t="shared" si="173"/>
        <v>0</v>
      </c>
      <c r="BX79">
        <f t="shared" si="174"/>
        <v>0</v>
      </c>
      <c r="BY79">
        <f t="shared" si="175"/>
        <v>0</v>
      </c>
      <c r="BZ79">
        <f t="shared" si="176"/>
        <v>0</v>
      </c>
      <c r="CA79">
        <f t="shared" si="177"/>
        <v>0</v>
      </c>
      <c r="CB79">
        <f t="shared" si="178"/>
        <v>0</v>
      </c>
      <c r="CC79">
        <f t="shared" si="179"/>
        <v>0</v>
      </c>
      <c r="CE79" t="str">
        <f t="shared" si="180"/>
        <v>067</v>
      </c>
      <c r="CF79" t="str">
        <f t="shared" si="181"/>
        <v>00</v>
      </c>
      <c r="CG79" t="str">
        <f t="shared" si="181"/>
        <v>00</v>
      </c>
      <c r="CH79" t="str">
        <f t="shared" si="181"/>
        <v>00</v>
      </c>
      <c r="CI79" t="str">
        <f t="shared" si="182"/>
        <v>01</v>
      </c>
      <c r="CJ79" t="str">
        <f t="shared" si="183"/>
        <v>04</v>
      </c>
      <c r="CK79" t="str">
        <f t="shared" si="184"/>
        <v>02</v>
      </c>
      <c r="CL79" t="str">
        <f t="shared" si="185"/>
        <v>04</v>
      </c>
      <c r="CM79" t="str">
        <f t="shared" si="186"/>
        <v>00</v>
      </c>
      <c r="CN79" t="str">
        <f t="shared" si="187"/>
        <v>00</v>
      </c>
      <c r="CO79" t="str">
        <f t="shared" si="188"/>
        <v>00</v>
      </c>
      <c r="CP79" t="str">
        <f t="shared" si="189"/>
        <v>00</v>
      </c>
      <c r="CQ79" t="str">
        <f t="shared" si="190"/>
        <v>00</v>
      </c>
      <c r="CR79" t="str">
        <f t="shared" si="191"/>
        <v>00</v>
      </c>
      <c r="CS79" t="str">
        <f t="shared" si="192"/>
        <v>00</v>
      </c>
      <c r="CT79" t="str">
        <f t="shared" si="193"/>
        <v>00</v>
      </c>
      <c r="CU79" t="str">
        <f t="shared" si="194"/>
        <v>00</v>
      </c>
      <c r="CV79" t="str">
        <f t="shared" si="195"/>
        <v>00</v>
      </c>
      <c r="CW79" t="str">
        <f t="shared" si="196"/>
        <v>00</v>
      </c>
      <c r="CX79" t="str">
        <f t="shared" si="197"/>
        <v>00</v>
      </c>
      <c r="CY79" t="str">
        <f t="shared" si="198"/>
        <v>00</v>
      </c>
      <c r="CZ79" t="str">
        <f t="shared" si="199"/>
        <v>00</v>
      </c>
      <c r="DA79" t="str">
        <f t="shared" si="200"/>
        <v>00</v>
      </c>
      <c r="DB79" t="str">
        <f t="shared" si="201"/>
        <v>04</v>
      </c>
      <c r="DC79" t="str">
        <f t="shared" si="202"/>
        <v>0104020400000000000000000000000000000004</v>
      </c>
      <c r="DD79" t="str">
        <f t="shared" si="203"/>
        <v>Request utama batal</v>
      </c>
      <c r="DE79" t="s">
        <v>186</v>
      </c>
      <c r="DF79" t="s">
        <v>223</v>
      </c>
      <c r="DG79" t="s">
        <v>224</v>
      </c>
      <c r="DH79" t="s">
        <v>225</v>
      </c>
      <c r="DI79" t="s">
        <v>226</v>
      </c>
      <c r="DJ79" t="s">
        <v>227</v>
      </c>
      <c r="DK79" t="s">
        <v>228</v>
      </c>
      <c r="DL79" t="str">
        <f t="shared" si="204"/>
        <v>067,00,00,00,01,04,02,04,00,00,00,00,00,00,00,00,00,00,00,00,00,00,00,04,0104020400000000000000000000000000000004,Request utama batal,file67,Blk1,Blk2,Blk3,Blk4,Blk5,Blk6</v>
      </c>
    </row>
    <row r="80" spans="2:116" x14ac:dyDescent="0.25">
      <c r="B80">
        <f t="shared" si="205"/>
        <v>68</v>
      </c>
      <c r="F80" t="s">
        <v>81</v>
      </c>
      <c r="W80">
        <f t="shared" si="115"/>
        <v>0</v>
      </c>
      <c r="X80">
        <f t="shared" si="116"/>
        <v>0</v>
      </c>
      <c r="Y80">
        <f t="shared" si="117"/>
        <v>0</v>
      </c>
      <c r="Z80">
        <f t="shared" si="118"/>
        <v>1</v>
      </c>
      <c r="AA80">
        <f t="shared" si="119"/>
        <v>0</v>
      </c>
      <c r="AB80">
        <f t="shared" si="120"/>
        <v>0</v>
      </c>
      <c r="AC80">
        <f t="shared" si="121"/>
        <v>0</v>
      </c>
      <c r="AD80">
        <f t="shared" si="122"/>
        <v>0</v>
      </c>
      <c r="AE80">
        <f t="shared" si="123"/>
        <v>0</v>
      </c>
      <c r="AF80">
        <f t="shared" si="124"/>
        <v>0</v>
      </c>
      <c r="AG80">
        <f t="shared" si="125"/>
        <v>0</v>
      </c>
      <c r="AH80">
        <f t="shared" si="126"/>
        <v>0</v>
      </c>
      <c r="AI80">
        <f t="shared" si="127"/>
        <v>0</v>
      </c>
      <c r="AJ80">
        <f t="shared" si="128"/>
        <v>0</v>
      </c>
      <c r="AK80">
        <f t="shared" si="129"/>
        <v>0</v>
      </c>
      <c r="AL80">
        <f t="shared" si="130"/>
        <v>0</v>
      </c>
      <c r="AM80">
        <f t="shared" si="131"/>
        <v>0</v>
      </c>
      <c r="AN80">
        <f t="shared" si="132"/>
        <v>0</v>
      </c>
      <c r="AO80">
        <f t="shared" si="133"/>
        <v>0</v>
      </c>
      <c r="AP80" s="2" t="str">
        <f t="shared" si="160"/>
        <v/>
      </c>
      <c r="AQ80" t="str">
        <f t="shared" si="140"/>
        <v>S</v>
      </c>
      <c r="AR80" t="str">
        <f t="shared" si="141"/>
        <v>S</v>
      </c>
      <c r="AS80" t="str">
        <f t="shared" si="142"/>
        <v>S</v>
      </c>
      <c r="AT80" t="str">
        <f t="shared" si="143"/>
        <v>+</v>
      </c>
      <c r="AU80" t="str">
        <f t="shared" si="144"/>
        <v/>
      </c>
      <c r="AV80" t="str">
        <f t="shared" si="145"/>
        <v/>
      </c>
      <c r="AW80" t="str">
        <f t="shared" si="146"/>
        <v/>
      </c>
      <c r="AX80" t="str">
        <f t="shared" si="147"/>
        <v/>
      </c>
      <c r="AY80" t="str">
        <f t="shared" si="148"/>
        <v/>
      </c>
      <c r="AZ80" t="str">
        <f t="shared" si="149"/>
        <v/>
      </c>
      <c r="BA80" t="str">
        <f t="shared" si="150"/>
        <v/>
      </c>
      <c r="BB80" t="str">
        <f t="shared" si="151"/>
        <v/>
      </c>
      <c r="BC80" t="str">
        <f t="shared" si="152"/>
        <v/>
      </c>
      <c r="BD80" t="str">
        <f t="shared" si="153"/>
        <v/>
      </c>
      <c r="BE80" t="str">
        <f t="shared" si="154"/>
        <v/>
      </c>
      <c r="BF80" t="str">
        <f t="shared" si="155"/>
        <v/>
      </c>
      <c r="BG80" t="str">
        <f t="shared" si="156"/>
        <v/>
      </c>
      <c r="BH80" t="str">
        <f t="shared" si="157"/>
        <v/>
      </c>
      <c r="BI80" t="str">
        <f t="shared" si="158"/>
        <v/>
      </c>
      <c r="BK80">
        <f t="shared" si="161"/>
        <v>1</v>
      </c>
      <c r="BL80">
        <f t="shared" si="162"/>
        <v>4</v>
      </c>
      <c r="BM80">
        <f t="shared" si="163"/>
        <v>2</v>
      </c>
      <c r="BN80">
        <f t="shared" si="164"/>
        <v>5</v>
      </c>
      <c r="BO80">
        <f t="shared" si="165"/>
        <v>0</v>
      </c>
      <c r="BP80">
        <f t="shared" si="166"/>
        <v>0</v>
      </c>
      <c r="BQ80">
        <f t="shared" si="167"/>
        <v>0</v>
      </c>
      <c r="BR80">
        <f t="shared" si="168"/>
        <v>0</v>
      </c>
      <c r="BS80">
        <f t="shared" si="169"/>
        <v>0</v>
      </c>
      <c r="BT80">
        <f t="shared" si="170"/>
        <v>0</v>
      </c>
      <c r="BU80">
        <f t="shared" si="171"/>
        <v>0</v>
      </c>
      <c r="BV80">
        <f t="shared" si="172"/>
        <v>0</v>
      </c>
      <c r="BW80">
        <f t="shared" si="173"/>
        <v>0</v>
      </c>
      <c r="BX80">
        <f t="shared" si="174"/>
        <v>0</v>
      </c>
      <c r="BY80">
        <f t="shared" si="175"/>
        <v>0</v>
      </c>
      <c r="BZ80">
        <f t="shared" si="176"/>
        <v>0</v>
      </c>
      <c r="CA80">
        <f t="shared" si="177"/>
        <v>0</v>
      </c>
      <c r="CB80">
        <f t="shared" si="178"/>
        <v>0</v>
      </c>
      <c r="CC80">
        <f t="shared" si="179"/>
        <v>0</v>
      </c>
      <c r="CE80" t="str">
        <f t="shared" si="180"/>
        <v>068</v>
      </c>
      <c r="CF80" t="str">
        <f t="shared" si="181"/>
        <v>00</v>
      </c>
      <c r="CG80" t="str">
        <f t="shared" si="181"/>
        <v>00</v>
      </c>
      <c r="CH80" t="str">
        <f t="shared" si="181"/>
        <v>00</v>
      </c>
      <c r="CI80" t="str">
        <f t="shared" si="182"/>
        <v>01</v>
      </c>
      <c r="CJ80" t="str">
        <f t="shared" si="183"/>
        <v>04</v>
      </c>
      <c r="CK80" t="str">
        <f t="shared" si="184"/>
        <v>02</v>
      </c>
      <c r="CL80" t="str">
        <f t="shared" si="185"/>
        <v>05</v>
      </c>
      <c r="CM80" t="str">
        <f t="shared" si="186"/>
        <v>00</v>
      </c>
      <c r="CN80" t="str">
        <f t="shared" si="187"/>
        <v>00</v>
      </c>
      <c r="CO80" t="str">
        <f t="shared" si="188"/>
        <v>00</v>
      </c>
      <c r="CP80" t="str">
        <f t="shared" si="189"/>
        <v>00</v>
      </c>
      <c r="CQ80" t="str">
        <f t="shared" si="190"/>
        <v>00</v>
      </c>
      <c r="CR80" t="str">
        <f t="shared" si="191"/>
        <v>00</v>
      </c>
      <c r="CS80" t="str">
        <f t="shared" si="192"/>
        <v>00</v>
      </c>
      <c r="CT80" t="str">
        <f t="shared" si="193"/>
        <v>00</v>
      </c>
      <c r="CU80" t="str">
        <f t="shared" si="194"/>
        <v>00</v>
      </c>
      <c r="CV80" t="str">
        <f t="shared" si="195"/>
        <v>00</v>
      </c>
      <c r="CW80" t="str">
        <f t="shared" si="196"/>
        <v>00</v>
      </c>
      <c r="CX80" t="str">
        <f t="shared" si="197"/>
        <v>00</v>
      </c>
      <c r="CY80" t="str">
        <f t="shared" si="198"/>
        <v>00</v>
      </c>
      <c r="CZ80" t="str">
        <f t="shared" si="199"/>
        <v>00</v>
      </c>
      <c r="DA80" t="str">
        <f t="shared" si="200"/>
        <v>00</v>
      </c>
      <c r="DB80" t="str">
        <f t="shared" si="201"/>
        <v>04</v>
      </c>
      <c r="DC80" t="str">
        <f t="shared" si="202"/>
        <v>0104020500000000000000000000000000000004</v>
      </c>
      <c r="DD80" t="str">
        <f t="shared" si="203"/>
        <v>Request bukan tak batal</v>
      </c>
      <c r="DE80" t="s">
        <v>187</v>
      </c>
      <c r="DF80" t="s">
        <v>223</v>
      </c>
      <c r="DG80" t="s">
        <v>224</v>
      </c>
      <c r="DH80" t="s">
        <v>225</v>
      </c>
      <c r="DI80" t="s">
        <v>226</v>
      </c>
      <c r="DJ80" t="s">
        <v>227</v>
      </c>
      <c r="DK80" t="s">
        <v>228</v>
      </c>
      <c r="DL80" t="str">
        <f t="shared" si="204"/>
        <v>068,00,00,00,01,04,02,05,00,00,00,00,00,00,00,00,00,00,00,00,00,00,00,04,0104020500000000000000000000000000000004,Request bukan tak batal,file68,Blk1,Blk2,Blk3,Blk4,Blk5,Blk6</v>
      </c>
    </row>
    <row r="81" spans="2:116" x14ac:dyDescent="0.25">
      <c r="B81">
        <f t="shared" si="205"/>
        <v>69</v>
      </c>
      <c r="G81" t="s">
        <v>82</v>
      </c>
      <c r="W81">
        <f t="shared" si="115"/>
        <v>0</v>
      </c>
      <c r="X81">
        <f t="shared" si="116"/>
        <v>0</v>
      </c>
      <c r="Y81">
        <f t="shared" si="117"/>
        <v>0</v>
      </c>
      <c r="Z81">
        <f t="shared" si="118"/>
        <v>0</v>
      </c>
      <c r="AA81">
        <f t="shared" si="119"/>
        <v>1</v>
      </c>
      <c r="AB81">
        <f t="shared" si="120"/>
        <v>0</v>
      </c>
      <c r="AC81">
        <f t="shared" si="121"/>
        <v>0</v>
      </c>
      <c r="AD81">
        <f t="shared" si="122"/>
        <v>0</v>
      </c>
      <c r="AE81">
        <f t="shared" si="123"/>
        <v>0</v>
      </c>
      <c r="AF81">
        <f t="shared" si="124"/>
        <v>0</v>
      </c>
      <c r="AG81">
        <f t="shared" si="125"/>
        <v>0</v>
      </c>
      <c r="AH81">
        <f t="shared" si="126"/>
        <v>0</v>
      </c>
      <c r="AI81">
        <f t="shared" si="127"/>
        <v>0</v>
      </c>
      <c r="AJ81">
        <f t="shared" si="128"/>
        <v>0</v>
      </c>
      <c r="AK81">
        <f t="shared" si="129"/>
        <v>0</v>
      </c>
      <c r="AL81">
        <f t="shared" si="130"/>
        <v>0</v>
      </c>
      <c r="AM81">
        <f t="shared" si="131"/>
        <v>0</v>
      </c>
      <c r="AN81">
        <f t="shared" si="132"/>
        <v>0</v>
      </c>
      <c r="AO81">
        <f t="shared" si="133"/>
        <v>0</v>
      </c>
      <c r="AP81" s="2" t="str">
        <f t="shared" si="160"/>
        <v/>
      </c>
      <c r="AQ81" t="str">
        <f t="shared" si="140"/>
        <v>S</v>
      </c>
      <c r="AR81" t="str">
        <f t="shared" si="141"/>
        <v>S</v>
      </c>
      <c r="AS81" t="str">
        <f t="shared" si="142"/>
        <v>S</v>
      </c>
      <c r="AT81" t="str">
        <f t="shared" si="143"/>
        <v>S</v>
      </c>
      <c r="AU81">
        <f t="shared" si="144"/>
        <v>1</v>
      </c>
      <c r="AV81" t="str">
        <f t="shared" si="145"/>
        <v/>
      </c>
      <c r="AW81" t="str">
        <f t="shared" si="146"/>
        <v/>
      </c>
      <c r="AX81" t="str">
        <f t="shared" si="147"/>
        <v/>
      </c>
      <c r="AY81" t="str">
        <f t="shared" si="148"/>
        <v/>
      </c>
      <c r="AZ81" t="str">
        <f t="shared" si="149"/>
        <v/>
      </c>
      <c r="BA81" t="str">
        <f t="shared" si="150"/>
        <v/>
      </c>
      <c r="BB81" t="str">
        <f t="shared" si="151"/>
        <v/>
      </c>
      <c r="BC81" t="str">
        <f t="shared" si="152"/>
        <v/>
      </c>
      <c r="BD81" t="str">
        <f t="shared" si="153"/>
        <v/>
      </c>
      <c r="BE81" t="str">
        <f t="shared" si="154"/>
        <v/>
      </c>
      <c r="BF81" t="str">
        <f t="shared" si="155"/>
        <v/>
      </c>
      <c r="BG81" t="str">
        <f t="shared" si="156"/>
        <v/>
      </c>
      <c r="BH81" t="str">
        <f t="shared" si="157"/>
        <v/>
      </c>
      <c r="BI81" t="str">
        <f t="shared" si="158"/>
        <v/>
      </c>
      <c r="BK81">
        <f t="shared" si="161"/>
        <v>1</v>
      </c>
      <c r="BL81">
        <f t="shared" si="162"/>
        <v>4</v>
      </c>
      <c r="BM81">
        <f t="shared" si="163"/>
        <v>2</v>
      </c>
      <c r="BN81">
        <f t="shared" si="164"/>
        <v>5</v>
      </c>
      <c r="BO81">
        <f t="shared" si="165"/>
        <v>1</v>
      </c>
      <c r="BP81">
        <f t="shared" si="166"/>
        <v>0</v>
      </c>
      <c r="BQ81">
        <f t="shared" si="167"/>
        <v>0</v>
      </c>
      <c r="BR81">
        <f t="shared" si="168"/>
        <v>0</v>
      </c>
      <c r="BS81">
        <f t="shared" si="169"/>
        <v>0</v>
      </c>
      <c r="BT81">
        <f t="shared" si="170"/>
        <v>0</v>
      </c>
      <c r="BU81">
        <f t="shared" si="171"/>
        <v>0</v>
      </c>
      <c r="BV81">
        <f t="shared" si="172"/>
        <v>0</v>
      </c>
      <c r="BW81">
        <f t="shared" si="173"/>
        <v>0</v>
      </c>
      <c r="BX81">
        <f t="shared" si="174"/>
        <v>0</v>
      </c>
      <c r="BY81">
        <f t="shared" si="175"/>
        <v>0</v>
      </c>
      <c r="BZ81">
        <f t="shared" si="176"/>
        <v>0</v>
      </c>
      <c r="CA81">
        <f t="shared" si="177"/>
        <v>0</v>
      </c>
      <c r="CB81">
        <f t="shared" si="178"/>
        <v>0</v>
      </c>
      <c r="CC81">
        <f t="shared" si="179"/>
        <v>0</v>
      </c>
      <c r="CE81" t="str">
        <f t="shared" si="180"/>
        <v>069</v>
      </c>
      <c r="CF81" t="str">
        <f t="shared" si="181"/>
        <v>00</v>
      </c>
      <c r="CG81" t="str">
        <f t="shared" si="181"/>
        <v>00</v>
      </c>
      <c r="CH81" t="str">
        <f t="shared" si="181"/>
        <v>00</v>
      </c>
      <c r="CI81" t="str">
        <f t="shared" si="182"/>
        <v>01</v>
      </c>
      <c r="CJ81" t="str">
        <f t="shared" si="183"/>
        <v>04</v>
      </c>
      <c r="CK81" t="str">
        <f t="shared" si="184"/>
        <v>02</v>
      </c>
      <c r="CL81" t="str">
        <f t="shared" si="185"/>
        <v>05</v>
      </c>
      <c r="CM81" t="str">
        <f t="shared" si="186"/>
        <v>01</v>
      </c>
      <c r="CN81" t="str">
        <f t="shared" si="187"/>
        <v>00</v>
      </c>
      <c r="CO81" t="str">
        <f t="shared" si="188"/>
        <v>00</v>
      </c>
      <c r="CP81" t="str">
        <f t="shared" si="189"/>
        <v>00</v>
      </c>
      <c r="CQ81" t="str">
        <f t="shared" si="190"/>
        <v>00</v>
      </c>
      <c r="CR81" t="str">
        <f t="shared" si="191"/>
        <v>00</v>
      </c>
      <c r="CS81" t="str">
        <f t="shared" si="192"/>
        <v>00</v>
      </c>
      <c r="CT81" t="str">
        <f t="shared" si="193"/>
        <v>00</v>
      </c>
      <c r="CU81" t="str">
        <f t="shared" si="194"/>
        <v>00</v>
      </c>
      <c r="CV81" t="str">
        <f t="shared" si="195"/>
        <v>00</v>
      </c>
      <c r="CW81" t="str">
        <f t="shared" si="196"/>
        <v>00</v>
      </c>
      <c r="CX81" t="str">
        <f t="shared" si="197"/>
        <v>00</v>
      </c>
      <c r="CY81" t="str">
        <f t="shared" si="198"/>
        <v>00</v>
      </c>
      <c r="CZ81" t="str">
        <f t="shared" si="199"/>
        <v>00</v>
      </c>
      <c r="DA81" t="str">
        <f t="shared" si="200"/>
        <v>00</v>
      </c>
      <c r="DB81" t="str">
        <f t="shared" si="201"/>
        <v>05</v>
      </c>
      <c r="DC81" t="str">
        <f t="shared" si="202"/>
        <v>0104020501000000000000000000000000000005</v>
      </c>
      <c r="DD81" t="str">
        <f t="shared" si="203"/>
        <v>Request bukan sedang batal</v>
      </c>
      <c r="DE81" t="s">
        <v>188</v>
      </c>
      <c r="DF81" t="s">
        <v>223</v>
      </c>
      <c r="DG81" t="s">
        <v>224</v>
      </c>
      <c r="DH81" t="s">
        <v>225</v>
      </c>
      <c r="DI81" t="s">
        <v>226</v>
      </c>
      <c r="DJ81" t="s">
        <v>227</v>
      </c>
      <c r="DK81" t="s">
        <v>228</v>
      </c>
      <c r="DL81" t="str">
        <f t="shared" si="204"/>
        <v>069,00,00,00,01,04,02,05,01,00,00,00,00,00,00,00,00,00,00,00,00,00,00,05,0104020501000000000000000000000000000005,Request bukan sedang batal,file69,Blk1,Blk2,Blk3,Blk4,Blk5,Blk6</v>
      </c>
    </row>
    <row r="82" spans="2:116" x14ac:dyDescent="0.25">
      <c r="B82">
        <f t="shared" si="205"/>
        <v>70</v>
      </c>
      <c r="G82" t="s">
        <v>83</v>
      </c>
      <c r="W82">
        <f t="shared" si="115"/>
        <v>0</v>
      </c>
      <c r="X82">
        <f t="shared" si="116"/>
        <v>0</v>
      </c>
      <c r="Y82">
        <f t="shared" si="117"/>
        <v>0</v>
      </c>
      <c r="Z82">
        <f t="shared" si="118"/>
        <v>0</v>
      </c>
      <c r="AA82">
        <f t="shared" si="119"/>
        <v>1</v>
      </c>
      <c r="AB82">
        <f t="shared" si="120"/>
        <v>0</v>
      </c>
      <c r="AC82">
        <f t="shared" si="121"/>
        <v>0</v>
      </c>
      <c r="AD82">
        <f t="shared" si="122"/>
        <v>0</v>
      </c>
      <c r="AE82">
        <f t="shared" si="123"/>
        <v>0</v>
      </c>
      <c r="AF82">
        <f t="shared" si="124"/>
        <v>0</v>
      </c>
      <c r="AG82">
        <f t="shared" si="125"/>
        <v>0</v>
      </c>
      <c r="AH82">
        <f t="shared" si="126"/>
        <v>0</v>
      </c>
      <c r="AI82">
        <f t="shared" si="127"/>
        <v>0</v>
      </c>
      <c r="AJ82">
        <f t="shared" si="128"/>
        <v>0</v>
      </c>
      <c r="AK82">
        <f t="shared" si="129"/>
        <v>0</v>
      </c>
      <c r="AL82">
        <f t="shared" si="130"/>
        <v>0</v>
      </c>
      <c r="AM82">
        <f t="shared" si="131"/>
        <v>0</v>
      </c>
      <c r="AN82">
        <f t="shared" si="132"/>
        <v>0</v>
      </c>
      <c r="AO82">
        <f t="shared" si="133"/>
        <v>0</v>
      </c>
      <c r="AP82" s="2" t="str">
        <f t="shared" si="160"/>
        <v/>
      </c>
      <c r="AQ82" t="str">
        <f t="shared" si="140"/>
        <v>S</v>
      </c>
      <c r="AR82" t="str">
        <f t="shared" si="141"/>
        <v>S</v>
      </c>
      <c r="AS82" t="str">
        <f t="shared" si="142"/>
        <v>S</v>
      </c>
      <c r="AT82" t="str">
        <f t="shared" si="143"/>
        <v>S</v>
      </c>
      <c r="AU82" t="str">
        <f t="shared" si="144"/>
        <v>+</v>
      </c>
      <c r="AV82" t="str">
        <f t="shared" si="145"/>
        <v/>
      </c>
      <c r="AW82" t="str">
        <f t="shared" si="146"/>
        <v/>
      </c>
      <c r="AX82" t="str">
        <f t="shared" si="147"/>
        <v/>
      </c>
      <c r="AY82" t="str">
        <f t="shared" si="148"/>
        <v/>
      </c>
      <c r="AZ82" t="str">
        <f t="shared" si="149"/>
        <v/>
      </c>
      <c r="BA82" t="str">
        <f t="shared" si="150"/>
        <v/>
      </c>
      <c r="BB82" t="str">
        <f t="shared" si="151"/>
        <v/>
      </c>
      <c r="BC82" t="str">
        <f t="shared" si="152"/>
        <v/>
      </c>
      <c r="BD82" t="str">
        <f t="shared" si="153"/>
        <v/>
      </c>
      <c r="BE82" t="str">
        <f t="shared" si="154"/>
        <v/>
      </c>
      <c r="BF82" t="str">
        <f t="shared" si="155"/>
        <v/>
      </c>
      <c r="BG82" t="str">
        <f t="shared" si="156"/>
        <v/>
      </c>
      <c r="BH82" t="str">
        <f t="shared" si="157"/>
        <v/>
      </c>
      <c r="BI82" t="str">
        <f t="shared" si="158"/>
        <v/>
      </c>
      <c r="BK82">
        <f t="shared" si="161"/>
        <v>1</v>
      </c>
      <c r="BL82">
        <f t="shared" si="162"/>
        <v>4</v>
      </c>
      <c r="BM82">
        <f t="shared" si="163"/>
        <v>2</v>
      </c>
      <c r="BN82">
        <f t="shared" si="164"/>
        <v>5</v>
      </c>
      <c r="BO82">
        <f t="shared" si="165"/>
        <v>2</v>
      </c>
      <c r="BP82">
        <f t="shared" si="166"/>
        <v>0</v>
      </c>
      <c r="BQ82">
        <f t="shared" si="167"/>
        <v>0</v>
      </c>
      <c r="BR82">
        <f t="shared" si="168"/>
        <v>0</v>
      </c>
      <c r="BS82">
        <f t="shared" si="169"/>
        <v>0</v>
      </c>
      <c r="BT82">
        <f t="shared" si="170"/>
        <v>0</v>
      </c>
      <c r="BU82">
        <f t="shared" si="171"/>
        <v>0</v>
      </c>
      <c r="BV82">
        <f t="shared" si="172"/>
        <v>0</v>
      </c>
      <c r="BW82">
        <f t="shared" si="173"/>
        <v>0</v>
      </c>
      <c r="BX82">
        <f t="shared" si="174"/>
        <v>0</v>
      </c>
      <c r="BY82">
        <f t="shared" si="175"/>
        <v>0</v>
      </c>
      <c r="BZ82">
        <f t="shared" si="176"/>
        <v>0</v>
      </c>
      <c r="CA82">
        <f t="shared" si="177"/>
        <v>0</v>
      </c>
      <c r="CB82">
        <f t="shared" si="178"/>
        <v>0</v>
      </c>
      <c r="CC82">
        <f t="shared" si="179"/>
        <v>0</v>
      </c>
      <c r="CE82" t="str">
        <f t="shared" si="180"/>
        <v>070</v>
      </c>
      <c r="CF82" t="str">
        <f t="shared" si="181"/>
        <v>00</v>
      </c>
      <c r="CG82" t="str">
        <f t="shared" si="181"/>
        <v>00</v>
      </c>
      <c r="CH82" t="str">
        <f t="shared" si="181"/>
        <v>00</v>
      </c>
      <c r="CI82" t="str">
        <f t="shared" si="182"/>
        <v>01</v>
      </c>
      <c r="CJ82" t="str">
        <f t="shared" si="183"/>
        <v>04</v>
      </c>
      <c r="CK82" t="str">
        <f t="shared" si="184"/>
        <v>02</v>
      </c>
      <c r="CL82" t="str">
        <f t="shared" si="185"/>
        <v>05</v>
      </c>
      <c r="CM82" t="str">
        <f t="shared" si="186"/>
        <v>02</v>
      </c>
      <c r="CN82" t="str">
        <f t="shared" si="187"/>
        <v>00</v>
      </c>
      <c r="CO82" t="str">
        <f t="shared" si="188"/>
        <v>00</v>
      </c>
      <c r="CP82" t="str">
        <f t="shared" si="189"/>
        <v>00</v>
      </c>
      <c r="CQ82" t="str">
        <f t="shared" si="190"/>
        <v>00</v>
      </c>
      <c r="CR82" t="str">
        <f t="shared" si="191"/>
        <v>00</v>
      </c>
      <c r="CS82" t="str">
        <f t="shared" si="192"/>
        <v>00</v>
      </c>
      <c r="CT82" t="str">
        <f t="shared" si="193"/>
        <v>00</v>
      </c>
      <c r="CU82" t="str">
        <f t="shared" si="194"/>
        <v>00</v>
      </c>
      <c r="CV82" t="str">
        <f t="shared" si="195"/>
        <v>00</v>
      </c>
      <c r="CW82" t="str">
        <f t="shared" si="196"/>
        <v>00</v>
      </c>
      <c r="CX82" t="str">
        <f t="shared" si="197"/>
        <v>00</v>
      </c>
      <c r="CY82" t="str">
        <f t="shared" si="198"/>
        <v>00</v>
      </c>
      <c r="CZ82" t="str">
        <f t="shared" si="199"/>
        <v>00</v>
      </c>
      <c r="DA82" t="str">
        <f t="shared" si="200"/>
        <v>00</v>
      </c>
      <c r="DB82" t="str">
        <f t="shared" si="201"/>
        <v>05</v>
      </c>
      <c r="DC82" t="str">
        <f t="shared" si="202"/>
        <v>0104020502000000000000000000000000000005</v>
      </c>
      <c r="DD82" t="str">
        <f t="shared" si="203"/>
        <v>Request bukan batal tak jadi</v>
      </c>
      <c r="DE82" t="s">
        <v>189</v>
      </c>
      <c r="DF82" t="s">
        <v>223</v>
      </c>
      <c r="DG82" t="s">
        <v>224</v>
      </c>
      <c r="DH82" t="s">
        <v>225</v>
      </c>
      <c r="DI82" t="s">
        <v>226</v>
      </c>
      <c r="DJ82" t="s">
        <v>227</v>
      </c>
      <c r="DK82" t="s">
        <v>228</v>
      </c>
      <c r="DL82" t="str">
        <f t="shared" si="204"/>
        <v>070,00,00,00,01,04,02,05,02,00,00,00,00,00,00,00,00,00,00,00,00,00,00,05,0104020502000000000000000000000000000005,Request bukan batal tak jadi,file70,Blk1,Blk2,Blk3,Blk4,Blk5,Blk6</v>
      </c>
    </row>
    <row r="83" spans="2:116" x14ac:dyDescent="0.25">
      <c r="B83">
        <f t="shared" si="205"/>
        <v>71</v>
      </c>
      <c r="F83" t="s">
        <v>84</v>
      </c>
      <c r="W83">
        <f t="shared" si="115"/>
        <v>0</v>
      </c>
      <c r="X83">
        <f t="shared" si="116"/>
        <v>0</v>
      </c>
      <c r="Y83">
        <f t="shared" si="117"/>
        <v>0</v>
      </c>
      <c r="Z83">
        <f t="shared" si="118"/>
        <v>1</v>
      </c>
      <c r="AA83">
        <f t="shared" si="119"/>
        <v>0</v>
      </c>
      <c r="AB83">
        <f t="shared" si="120"/>
        <v>0</v>
      </c>
      <c r="AC83">
        <f t="shared" si="121"/>
        <v>0</v>
      </c>
      <c r="AD83">
        <f t="shared" si="122"/>
        <v>0</v>
      </c>
      <c r="AE83">
        <f t="shared" si="123"/>
        <v>0</v>
      </c>
      <c r="AF83">
        <f t="shared" si="124"/>
        <v>0</v>
      </c>
      <c r="AG83">
        <f t="shared" si="125"/>
        <v>0</v>
      </c>
      <c r="AH83">
        <f t="shared" si="126"/>
        <v>0</v>
      </c>
      <c r="AI83">
        <f t="shared" si="127"/>
        <v>0</v>
      </c>
      <c r="AJ83">
        <f t="shared" si="128"/>
        <v>0</v>
      </c>
      <c r="AK83">
        <f t="shared" si="129"/>
        <v>0</v>
      </c>
      <c r="AL83">
        <f t="shared" si="130"/>
        <v>0</v>
      </c>
      <c r="AM83">
        <f t="shared" si="131"/>
        <v>0</v>
      </c>
      <c r="AN83">
        <f t="shared" si="132"/>
        <v>0</v>
      </c>
      <c r="AO83">
        <f t="shared" si="133"/>
        <v>0</v>
      </c>
      <c r="AP83" s="2" t="str">
        <f t="shared" si="160"/>
        <v/>
      </c>
      <c r="AQ83" t="str">
        <f t="shared" si="140"/>
        <v>S</v>
      </c>
      <c r="AR83" t="str">
        <f t="shared" si="141"/>
        <v>S</v>
      </c>
      <c r="AS83" t="str">
        <f t="shared" si="142"/>
        <v>S</v>
      </c>
      <c r="AT83" t="str">
        <f t="shared" si="143"/>
        <v>+</v>
      </c>
      <c r="AU83" t="str">
        <f t="shared" si="144"/>
        <v/>
      </c>
      <c r="AV83" t="str">
        <f t="shared" si="145"/>
        <v/>
      </c>
      <c r="AW83" t="str">
        <f t="shared" si="146"/>
        <v/>
      </c>
      <c r="AX83" t="str">
        <f t="shared" si="147"/>
        <v/>
      </c>
      <c r="AY83" t="str">
        <f t="shared" si="148"/>
        <v/>
      </c>
      <c r="AZ83" t="str">
        <f t="shared" si="149"/>
        <v/>
      </c>
      <c r="BA83" t="str">
        <f t="shared" si="150"/>
        <v/>
      </c>
      <c r="BB83" t="str">
        <f t="shared" si="151"/>
        <v/>
      </c>
      <c r="BC83" t="str">
        <f t="shared" si="152"/>
        <v/>
      </c>
      <c r="BD83" t="str">
        <f t="shared" si="153"/>
        <v/>
      </c>
      <c r="BE83" t="str">
        <f t="shared" si="154"/>
        <v/>
      </c>
      <c r="BF83" t="str">
        <f t="shared" si="155"/>
        <v/>
      </c>
      <c r="BG83" t="str">
        <f t="shared" si="156"/>
        <v/>
      </c>
      <c r="BH83" t="str">
        <f t="shared" si="157"/>
        <v/>
      </c>
      <c r="BI83" t="str">
        <f t="shared" si="158"/>
        <v/>
      </c>
      <c r="BK83">
        <f t="shared" si="161"/>
        <v>1</v>
      </c>
      <c r="BL83">
        <f t="shared" si="162"/>
        <v>4</v>
      </c>
      <c r="BM83">
        <f t="shared" si="163"/>
        <v>2</v>
      </c>
      <c r="BN83">
        <f t="shared" si="164"/>
        <v>6</v>
      </c>
      <c r="BO83">
        <f t="shared" si="165"/>
        <v>0</v>
      </c>
      <c r="BP83">
        <f t="shared" si="166"/>
        <v>0</v>
      </c>
      <c r="BQ83">
        <f t="shared" si="167"/>
        <v>0</v>
      </c>
      <c r="BR83">
        <f t="shared" si="168"/>
        <v>0</v>
      </c>
      <c r="BS83">
        <f t="shared" si="169"/>
        <v>0</v>
      </c>
      <c r="BT83">
        <f t="shared" si="170"/>
        <v>0</v>
      </c>
      <c r="BU83">
        <f t="shared" si="171"/>
        <v>0</v>
      </c>
      <c r="BV83">
        <f t="shared" si="172"/>
        <v>0</v>
      </c>
      <c r="BW83">
        <f t="shared" si="173"/>
        <v>0</v>
      </c>
      <c r="BX83">
        <f t="shared" si="174"/>
        <v>0</v>
      </c>
      <c r="BY83">
        <f t="shared" si="175"/>
        <v>0</v>
      </c>
      <c r="BZ83">
        <f t="shared" si="176"/>
        <v>0</v>
      </c>
      <c r="CA83">
        <f t="shared" si="177"/>
        <v>0</v>
      </c>
      <c r="CB83">
        <f t="shared" si="178"/>
        <v>0</v>
      </c>
      <c r="CC83">
        <f t="shared" si="179"/>
        <v>0</v>
      </c>
      <c r="CE83" t="str">
        <f t="shared" si="180"/>
        <v>071</v>
      </c>
      <c r="CF83" t="str">
        <f t="shared" si="181"/>
        <v>00</v>
      </c>
      <c r="CG83" t="str">
        <f t="shared" si="181"/>
        <v>00</v>
      </c>
      <c r="CH83" t="str">
        <f t="shared" si="181"/>
        <v>00</v>
      </c>
      <c r="CI83" t="str">
        <f t="shared" si="182"/>
        <v>01</v>
      </c>
      <c r="CJ83" t="str">
        <f t="shared" si="183"/>
        <v>04</v>
      </c>
      <c r="CK83" t="str">
        <f t="shared" si="184"/>
        <v>02</v>
      </c>
      <c r="CL83" t="str">
        <f t="shared" si="185"/>
        <v>06</v>
      </c>
      <c r="CM83" t="str">
        <f t="shared" si="186"/>
        <v>00</v>
      </c>
      <c r="CN83" t="str">
        <f t="shared" si="187"/>
        <v>00</v>
      </c>
      <c r="CO83" t="str">
        <f t="shared" si="188"/>
        <v>00</v>
      </c>
      <c r="CP83" t="str">
        <f t="shared" si="189"/>
        <v>00</v>
      </c>
      <c r="CQ83" t="str">
        <f t="shared" si="190"/>
        <v>00</v>
      </c>
      <c r="CR83" t="str">
        <f t="shared" si="191"/>
        <v>00</v>
      </c>
      <c r="CS83" t="str">
        <f t="shared" si="192"/>
        <v>00</v>
      </c>
      <c r="CT83" t="str">
        <f t="shared" si="193"/>
        <v>00</v>
      </c>
      <c r="CU83" t="str">
        <f t="shared" si="194"/>
        <v>00</v>
      </c>
      <c r="CV83" t="str">
        <f t="shared" si="195"/>
        <v>00</v>
      </c>
      <c r="CW83" t="str">
        <f t="shared" si="196"/>
        <v>00</v>
      </c>
      <c r="CX83" t="str">
        <f t="shared" si="197"/>
        <v>00</v>
      </c>
      <c r="CY83" t="str">
        <f t="shared" si="198"/>
        <v>00</v>
      </c>
      <c r="CZ83" t="str">
        <f t="shared" si="199"/>
        <v>00</v>
      </c>
      <c r="DA83" t="str">
        <f t="shared" si="200"/>
        <v>00</v>
      </c>
      <c r="DB83" t="str">
        <f t="shared" si="201"/>
        <v>04</v>
      </c>
      <c r="DC83" t="str">
        <f t="shared" si="202"/>
        <v>0104020600000000000000000000000000000004</v>
      </c>
      <c r="DD83" t="str">
        <f t="shared" si="203"/>
        <v>Request Ketua</v>
      </c>
      <c r="DE83" t="s">
        <v>190</v>
      </c>
      <c r="DF83" t="s">
        <v>223</v>
      </c>
      <c r="DG83" t="s">
        <v>224</v>
      </c>
      <c r="DH83" t="s">
        <v>225</v>
      </c>
      <c r="DI83" t="s">
        <v>226</v>
      </c>
      <c r="DJ83" t="s">
        <v>227</v>
      </c>
      <c r="DK83" t="s">
        <v>228</v>
      </c>
      <c r="DL83" t="str">
        <f t="shared" si="204"/>
        <v>071,00,00,00,01,04,02,06,00,00,00,00,00,00,00,00,00,00,00,00,00,00,00,04,0104020600000000000000000000000000000004,Request Ketua,file71,Blk1,Blk2,Blk3,Blk4,Blk5,Blk6</v>
      </c>
    </row>
    <row r="84" spans="2:116" x14ac:dyDescent="0.25">
      <c r="B84">
        <f t="shared" si="205"/>
        <v>72</v>
      </c>
      <c r="E84" t="s">
        <v>85</v>
      </c>
      <c r="W84">
        <f t="shared" ref="W84:W118" si="206">IF(C84&lt;&gt;"",1,0)</f>
        <v>0</v>
      </c>
      <c r="X84">
        <f t="shared" ref="X84:X118" si="207">IF(D84&lt;&gt;"",1,0)</f>
        <v>0</v>
      </c>
      <c r="Y84">
        <f t="shared" ref="Y84:Y118" si="208">IF(E84&lt;&gt;"",1,0)</f>
        <v>1</v>
      </c>
      <c r="Z84">
        <f t="shared" ref="Z84:Z118" si="209">IF(F84&lt;&gt;"",1,0)</f>
        <v>0</v>
      </c>
      <c r="AA84">
        <f t="shared" ref="AA84:AA118" si="210">IF(G84&lt;&gt;"",1,0)</f>
        <v>0</v>
      </c>
      <c r="AB84">
        <f t="shared" ref="AB84:AB118" si="211">IF(H84&lt;&gt;"",1,0)</f>
        <v>0</v>
      </c>
      <c r="AC84">
        <f t="shared" ref="AC84:AC118" si="212">IF(I84&lt;&gt;"",1,0)</f>
        <v>0</v>
      </c>
      <c r="AD84">
        <f t="shared" ref="AD84:AD118" si="213">IF(J84&lt;&gt;"",1,0)</f>
        <v>0</v>
      </c>
      <c r="AE84">
        <f t="shared" ref="AE84:AE118" si="214">IF(K84&lt;&gt;"",1,0)</f>
        <v>0</v>
      </c>
      <c r="AF84">
        <f t="shared" ref="AF84:AF118" si="215">IF(L84&lt;&gt;"",1,0)</f>
        <v>0</v>
      </c>
      <c r="AG84">
        <f t="shared" ref="AG84:AG118" si="216">IF(M84&lt;&gt;"",1,0)</f>
        <v>0</v>
      </c>
      <c r="AH84">
        <f t="shared" ref="AH84:AH118" si="217">IF(N84&lt;&gt;"",1,0)</f>
        <v>0</v>
      </c>
      <c r="AI84">
        <f t="shared" ref="AI84:AI118" si="218">IF(O84&lt;&gt;"",1,0)</f>
        <v>0</v>
      </c>
      <c r="AJ84">
        <f t="shared" ref="AJ84:AJ118" si="219">IF(P84&lt;&gt;"",1,0)</f>
        <v>0</v>
      </c>
      <c r="AK84">
        <f t="shared" ref="AK84:AK118" si="220">IF(Q84&lt;&gt;"",1,0)</f>
        <v>0</v>
      </c>
      <c r="AL84">
        <f t="shared" ref="AL84:AL118" si="221">IF(R84&lt;&gt;"",1,0)</f>
        <v>0</v>
      </c>
      <c r="AM84">
        <f t="shared" ref="AM84:AM118" si="222">IF(S84&lt;&gt;"",1,0)</f>
        <v>0</v>
      </c>
      <c r="AN84">
        <f t="shared" ref="AN84:AN118" si="223">IF(T84&lt;&gt;"",1,0)</f>
        <v>0</v>
      </c>
      <c r="AO84">
        <f t="shared" ref="AO84:AO118" si="224">IF(U84&lt;&gt;"",1,0)</f>
        <v>0</v>
      </c>
      <c r="AP84" s="2" t="str">
        <f t="shared" si="160"/>
        <v/>
      </c>
      <c r="AQ84" t="str">
        <f t="shared" si="140"/>
        <v>S</v>
      </c>
      <c r="AR84" t="str">
        <f t="shared" si="141"/>
        <v>S</v>
      </c>
      <c r="AS84" t="str">
        <f t="shared" si="142"/>
        <v>+</v>
      </c>
      <c r="AT84" t="str">
        <f t="shared" si="143"/>
        <v/>
      </c>
      <c r="AU84" t="str">
        <f t="shared" si="144"/>
        <v/>
      </c>
      <c r="AV84" t="str">
        <f t="shared" si="145"/>
        <v/>
      </c>
      <c r="AW84" t="str">
        <f t="shared" si="146"/>
        <v/>
      </c>
      <c r="AX84" t="str">
        <f t="shared" si="147"/>
        <v/>
      </c>
      <c r="AY84" t="str">
        <f t="shared" si="148"/>
        <v/>
      </c>
      <c r="AZ84" t="str">
        <f t="shared" si="149"/>
        <v/>
      </c>
      <c r="BA84" t="str">
        <f t="shared" si="150"/>
        <v/>
      </c>
      <c r="BB84" t="str">
        <f t="shared" si="151"/>
        <v/>
      </c>
      <c r="BC84" t="str">
        <f t="shared" si="152"/>
        <v/>
      </c>
      <c r="BD84" t="str">
        <f t="shared" si="153"/>
        <v/>
      </c>
      <c r="BE84" t="str">
        <f t="shared" si="154"/>
        <v/>
      </c>
      <c r="BF84" t="str">
        <f t="shared" si="155"/>
        <v/>
      </c>
      <c r="BG84" t="str">
        <f t="shared" si="156"/>
        <v/>
      </c>
      <c r="BH84" t="str">
        <f t="shared" si="157"/>
        <v/>
      </c>
      <c r="BI84" t="str">
        <f t="shared" si="158"/>
        <v/>
      </c>
      <c r="BK84">
        <f t="shared" si="161"/>
        <v>1</v>
      </c>
      <c r="BL84">
        <f t="shared" si="162"/>
        <v>4</v>
      </c>
      <c r="BM84">
        <f t="shared" si="163"/>
        <v>3</v>
      </c>
      <c r="BN84">
        <f t="shared" si="164"/>
        <v>0</v>
      </c>
      <c r="BO84">
        <f t="shared" si="165"/>
        <v>0</v>
      </c>
      <c r="BP84">
        <f t="shared" si="166"/>
        <v>0</v>
      </c>
      <c r="BQ84">
        <f t="shared" si="167"/>
        <v>0</v>
      </c>
      <c r="BR84">
        <f t="shared" si="168"/>
        <v>0</v>
      </c>
      <c r="BS84">
        <f t="shared" si="169"/>
        <v>0</v>
      </c>
      <c r="BT84">
        <f t="shared" si="170"/>
        <v>0</v>
      </c>
      <c r="BU84">
        <f t="shared" si="171"/>
        <v>0</v>
      </c>
      <c r="BV84">
        <f t="shared" si="172"/>
        <v>0</v>
      </c>
      <c r="BW84">
        <f t="shared" si="173"/>
        <v>0</v>
      </c>
      <c r="BX84">
        <f t="shared" si="174"/>
        <v>0</v>
      </c>
      <c r="BY84">
        <f t="shared" si="175"/>
        <v>0</v>
      </c>
      <c r="BZ84">
        <f t="shared" si="176"/>
        <v>0</v>
      </c>
      <c r="CA84">
        <f t="shared" si="177"/>
        <v>0</v>
      </c>
      <c r="CB84">
        <f t="shared" si="178"/>
        <v>0</v>
      </c>
      <c r="CC84">
        <f t="shared" si="179"/>
        <v>0</v>
      </c>
      <c r="CE84" t="str">
        <f t="shared" si="180"/>
        <v>072</v>
      </c>
      <c r="CF84" t="str">
        <f t="shared" si="181"/>
        <v>00</v>
      </c>
      <c r="CG84" t="str">
        <f t="shared" si="181"/>
        <v>00</v>
      </c>
      <c r="CH84" t="str">
        <f t="shared" si="181"/>
        <v>00</v>
      </c>
      <c r="CI84" t="str">
        <f t="shared" si="182"/>
        <v>01</v>
      </c>
      <c r="CJ84" t="str">
        <f t="shared" si="183"/>
        <v>04</v>
      </c>
      <c r="CK84" t="str">
        <f t="shared" si="184"/>
        <v>03</v>
      </c>
      <c r="CL84" t="str">
        <f t="shared" si="185"/>
        <v>00</v>
      </c>
      <c r="CM84" t="str">
        <f t="shared" si="186"/>
        <v>00</v>
      </c>
      <c r="CN84" t="str">
        <f t="shared" si="187"/>
        <v>00</v>
      </c>
      <c r="CO84" t="str">
        <f t="shared" si="188"/>
        <v>00</v>
      </c>
      <c r="CP84" t="str">
        <f t="shared" si="189"/>
        <v>00</v>
      </c>
      <c r="CQ84" t="str">
        <f t="shared" si="190"/>
        <v>00</v>
      </c>
      <c r="CR84" t="str">
        <f t="shared" si="191"/>
        <v>00</v>
      </c>
      <c r="CS84" t="str">
        <f t="shared" si="192"/>
        <v>00</v>
      </c>
      <c r="CT84" t="str">
        <f t="shared" si="193"/>
        <v>00</v>
      </c>
      <c r="CU84" t="str">
        <f t="shared" si="194"/>
        <v>00</v>
      </c>
      <c r="CV84" t="str">
        <f t="shared" si="195"/>
        <v>00</v>
      </c>
      <c r="CW84" t="str">
        <f t="shared" si="196"/>
        <v>00</v>
      </c>
      <c r="CX84" t="str">
        <f t="shared" si="197"/>
        <v>00</v>
      </c>
      <c r="CY84" t="str">
        <f t="shared" si="198"/>
        <v>00</v>
      </c>
      <c r="CZ84" t="str">
        <f t="shared" si="199"/>
        <v>00</v>
      </c>
      <c r="DA84" t="str">
        <f t="shared" si="200"/>
        <v>00</v>
      </c>
      <c r="DB84" t="str">
        <f t="shared" si="201"/>
        <v>03</v>
      </c>
      <c r="DC84" t="str">
        <f t="shared" si="202"/>
        <v>0104030000000000000000000000000000000003</v>
      </c>
      <c r="DD84" t="str">
        <f t="shared" si="203"/>
        <v>Request ketiga</v>
      </c>
      <c r="DE84" t="s">
        <v>191</v>
      </c>
      <c r="DF84" t="s">
        <v>223</v>
      </c>
      <c r="DG84" t="s">
        <v>224</v>
      </c>
      <c r="DH84" t="s">
        <v>225</v>
      </c>
      <c r="DI84" t="s">
        <v>226</v>
      </c>
      <c r="DJ84" t="s">
        <v>227</v>
      </c>
      <c r="DK84" t="s">
        <v>228</v>
      </c>
      <c r="DL84" t="str">
        <f t="shared" si="204"/>
        <v>072,00,00,00,01,04,03,00,00,00,00,00,00,00,00,00,00,00,00,00,00,00,00,03,0104030000000000000000000000000000000003,Request ketiga,file72,Blk1,Blk2,Blk3,Blk4,Blk5,Blk6</v>
      </c>
    </row>
    <row r="85" spans="2:116" x14ac:dyDescent="0.25">
      <c r="B85">
        <f t="shared" si="205"/>
        <v>73</v>
      </c>
      <c r="E85" t="s">
        <v>86</v>
      </c>
      <c r="W85">
        <f t="shared" si="206"/>
        <v>0</v>
      </c>
      <c r="X85">
        <f t="shared" si="207"/>
        <v>0</v>
      </c>
      <c r="Y85">
        <f t="shared" si="208"/>
        <v>1</v>
      </c>
      <c r="Z85">
        <f t="shared" si="209"/>
        <v>0</v>
      </c>
      <c r="AA85">
        <f t="shared" si="210"/>
        <v>0</v>
      </c>
      <c r="AB85">
        <f t="shared" si="211"/>
        <v>0</v>
      </c>
      <c r="AC85">
        <f t="shared" si="212"/>
        <v>0</v>
      </c>
      <c r="AD85">
        <f t="shared" si="213"/>
        <v>0</v>
      </c>
      <c r="AE85">
        <f t="shared" si="214"/>
        <v>0</v>
      </c>
      <c r="AF85">
        <f t="shared" si="215"/>
        <v>0</v>
      </c>
      <c r="AG85">
        <f t="shared" si="216"/>
        <v>0</v>
      </c>
      <c r="AH85">
        <f t="shared" si="217"/>
        <v>0</v>
      </c>
      <c r="AI85">
        <f t="shared" si="218"/>
        <v>0</v>
      </c>
      <c r="AJ85">
        <f t="shared" si="219"/>
        <v>0</v>
      </c>
      <c r="AK85">
        <f t="shared" si="220"/>
        <v>0</v>
      </c>
      <c r="AL85">
        <f t="shared" si="221"/>
        <v>0</v>
      </c>
      <c r="AM85">
        <f t="shared" si="222"/>
        <v>0</v>
      </c>
      <c r="AN85">
        <f t="shared" si="223"/>
        <v>0</v>
      </c>
      <c r="AO85">
        <f t="shared" si="224"/>
        <v>0</v>
      </c>
      <c r="AP85" s="2" t="str">
        <f t="shared" si="160"/>
        <v/>
      </c>
      <c r="AQ85" t="str">
        <f t="shared" si="140"/>
        <v>S</v>
      </c>
      <c r="AR85" t="str">
        <f t="shared" si="141"/>
        <v>S</v>
      </c>
      <c r="AS85" t="str">
        <f t="shared" si="142"/>
        <v>+</v>
      </c>
      <c r="AT85" t="str">
        <f t="shared" si="143"/>
        <v/>
      </c>
      <c r="AU85" t="str">
        <f t="shared" si="144"/>
        <v/>
      </c>
      <c r="AV85" t="str">
        <f t="shared" si="145"/>
        <v/>
      </c>
      <c r="AW85" t="str">
        <f t="shared" si="146"/>
        <v/>
      </c>
      <c r="AX85" t="str">
        <f t="shared" si="147"/>
        <v/>
      </c>
      <c r="AY85" t="str">
        <f t="shared" si="148"/>
        <v/>
      </c>
      <c r="AZ85" t="str">
        <f t="shared" si="149"/>
        <v/>
      </c>
      <c r="BA85" t="str">
        <f t="shared" si="150"/>
        <v/>
      </c>
      <c r="BB85" t="str">
        <f t="shared" si="151"/>
        <v/>
      </c>
      <c r="BC85" t="str">
        <f t="shared" si="152"/>
        <v/>
      </c>
      <c r="BD85" t="str">
        <f t="shared" si="153"/>
        <v/>
      </c>
      <c r="BE85" t="str">
        <f t="shared" si="154"/>
        <v/>
      </c>
      <c r="BF85" t="str">
        <f t="shared" si="155"/>
        <v/>
      </c>
      <c r="BG85" t="str">
        <f t="shared" si="156"/>
        <v/>
      </c>
      <c r="BH85" t="str">
        <f t="shared" si="157"/>
        <v/>
      </c>
      <c r="BI85" t="str">
        <f t="shared" si="158"/>
        <v/>
      </c>
      <c r="BK85">
        <f t="shared" si="161"/>
        <v>1</v>
      </c>
      <c r="BL85">
        <f t="shared" si="162"/>
        <v>4</v>
      </c>
      <c r="BM85">
        <f t="shared" si="163"/>
        <v>4</v>
      </c>
      <c r="BN85">
        <f t="shared" si="164"/>
        <v>0</v>
      </c>
      <c r="BO85">
        <f t="shared" si="165"/>
        <v>0</v>
      </c>
      <c r="BP85">
        <f t="shared" si="166"/>
        <v>0</v>
      </c>
      <c r="BQ85">
        <f t="shared" si="167"/>
        <v>0</v>
      </c>
      <c r="BR85">
        <f t="shared" si="168"/>
        <v>0</v>
      </c>
      <c r="BS85">
        <f t="shared" si="169"/>
        <v>0</v>
      </c>
      <c r="BT85">
        <f t="shared" si="170"/>
        <v>0</v>
      </c>
      <c r="BU85">
        <f t="shared" si="171"/>
        <v>0</v>
      </c>
      <c r="BV85">
        <f t="shared" si="172"/>
        <v>0</v>
      </c>
      <c r="BW85">
        <f t="shared" si="173"/>
        <v>0</v>
      </c>
      <c r="BX85">
        <f t="shared" si="174"/>
        <v>0</v>
      </c>
      <c r="BY85">
        <f t="shared" si="175"/>
        <v>0</v>
      </c>
      <c r="BZ85">
        <f t="shared" si="176"/>
        <v>0</v>
      </c>
      <c r="CA85">
        <f t="shared" si="177"/>
        <v>0</v>
      </c>
      <c r="CB85">
        <f t="shared" si="178"/>
        <v>0</v>
      </c>
      <c r="CC85">
        <f t="shared" si="179"/>
        <v>0</v>
      </c>
      <c r="CE85" t="str">
        <f t="shared" si="180"/>
        <v>073</v>
      </c>
      <c r="CF85" t="str">
        <f t="shared" si="181"/>
        <v>00</v>
      </c>
      <c r="CG85" t="str">
        <f t="shared" si="181"/>
        <v>00</v>
      </c>
      <c r="CH85" t="str">
        <f t="shared" si="181"/>
        <v>00</v>
      </c>
      <c r="CI85" t="str">
        <f t="shared" si="182"/>
        <v>01</v>
      </c>
      <c r="CJ85" t="str">
        <f t="shared" si="183"/>
        <v>04</v>
      </c>
      <c r="CK85" t="str">
        <f t="shared" si="184"/>
        <v>04</v>
      </c>
      <c r="CL85" t="str">
        <f t="shared" si="185"/>
        <v>00</v>
      </c>
      <c r="CM85" t="str">
        <f t="shared" si="186"/>
        <v>00</v>
      </c>
      <c r="CN85" t="str">
        <f t="shared" si="187"/>
        <v>00</v>
      </c>
      <c r="CO85" t="str">
        <f t="shared" si="188"/>
        <v>00</v>
      </c>
      <c r="CP85" t="str">
        <f t="shared" si="189"/>
        <v>00</v>
      </c>
      <c r="CQ85" t="str">
        <f t="shared" si="190"/>
        <v>00</v>
      </c>
      <c r="CR85" t="str">
        <f t="shared" si="191"/>
        <v>00</v>
      </c>
      <c r="CS85" t="str">
        <f t="shared" si="192"/>
        <v>00</v>
      </c>
      <c r="CT85" t="str">
        <f t="shared" si="193"/>
        <v>00</v>
      </c>
      <c r="CU85" t="str">
        <f t="shared" si="194"/>
        <v>00</v>
      </c>
      <c r="CV85" t="str">
        <f t="shared" si="195"/>
        <v>00</v>
      </c>
      <c r="CW85" t="str">
        <f t="shared" si="196"/>
        <v>00</v>
      </c>
      <c r="CX85" t="str">
        <f t="shared" si="197"/>
        <v>00</v>
      </c>
      <c r="CY85" t="str">
        <f t="shared" si="198"/>
        <v>00</v>
      </c>
      <c r="CZ85" t="str">
        <f t="shared" si="199"/>
        <v>00</v>
      </c>
      <c r="DA85" t="str">
        <f t="shared" si="200"/>
        <v>00</v>
      </c>
      <c r="DB85" t="str">
        <f t="shared" si="201"/>
        <v>03</v>
      </c>
      <c r="DC85" t="str">
        <f t="shared" si="202"/>
        <v>0104040000000000000000000000000000000003</v>
      </c>
      <c r="DD85" t="str">
        <f t="shared" si="203"/>
        <v>Request keempat</v>
      </c>
      <c r="DE85" t="s">
        <v>192</v>
      </c>
      <c r="DF85" t="s">
        <v>223</v>
      </c>
      <c r="DG85" t="s">
        <v>224</v>
      </c>
      <c r="DH85" t="s">
        <v>225</v>
      </c>
      <c r="DI85" t="s">
        <v>226</v>
      </c>
      <c r="DJ85" t="s">
        <v>227</v>
      </c>
      <c r="DK85" t="s">
        <v>228</v>
      </c>
      <c r="DL85" t="str">
        <f t="shared" si="204"/>
        <v>073,00,00,00,01,04,04,00,00,00,00,00,00,00,00,00,00,00,00,00,00,00,00,03,0104040000000000000000000000000000000003,Request keempat,file73,Blk1,Blk2,Blk3,Blk4,Blk5,Blk6</v>
      </c>
    </row>
    <row r="86" spans="2:116" x14ac:dyDescent="0.25">
      <c r="B86">
        <f t="shared" si="205"/>
        <v>74</v>
      </c>
      <c r="F86" t="s">
        <v>87</v>
      </c>
      <c r="W86">
        <f t="shared" si="206"/>
        <v>0</v>
      </c>
      <c r="X86">
        <f t="shared" si="207"/>
        <v>0</v>
      </c>
      <c r="Y86">
        <f t="shared" si="208"/>
        <v>0</v>
      </c>
      <c r="Z86">
        <f t="shared" si="209"/>
        <v>1</v>
      </c>
      <c r="AA86">
        <f t="shared" si="210"/>
        <v>0</v>
      </c>
      <c r="AB86">
        <f t="shared" si="211"/>
        <v>0</v>
      </c>
      <c r="AC86">
        <f t="shared" si="212"/>
        <v>0</v>
      </c>
      <c r="AD86">
        <f t="shared" si="213"/>
        <v>0</v>
      </c>
      <c r="AE86">
        <f t="shared" si="214"/>
        <v>0</v>
      </c>
      <c r="AF86">
        <f t="shared" si="215"/>
        <v>0</v>
      </c>
      <c r="AG86">
        <f t="shared" si="216"/>
        <v>0</v>
      </c>
      <c r="AH86">
        <f t="shared" si="217"/>
        <v>0</v>
      </c>
      <c r="AI86">
        <f t="shared" si="218"/>
        <v>0</v>
      </c>
      <c r="AJ86">
        <f t="shared" si="219"/>
        <v>0</v>
      </c>
      <c r="AK86">
        <f t="shared" si="220"/>
        <v>0</v>
      </c>
      <c r="AL86">
        <f t="shared" si="221"/>
        <v>0</v>
      </c>
      <c r="AM86">
        <f t="shared" si="222"/>
        <v>0</v>
      </c>
      <c r="AN86">
        <f t="shared" si="223"/>
        <v>0</v>
      </c>
      <c r="AO86">
        <f t="shared" si="224"/>
        <v>0</v>
      </c>
      <c r="AP86" s="2" t="str">
        <f t="shared" si="160"/>
        <v/>
      </c>
      <c r="AQ86" t="str">
        <f t="shared" si="140"/>
        <v>S</v>
      </c>
      <c r="AR86" t="str">
        <f t="shared" si="141"/>
        <v>S</v>
      </c>
      <c r="AS86" t="str">
        <f t="shared" si="142"/>
        <v>S</v>
      </c>
      <c r="AT86">
        <f t="shared" si="143"/>
        <v>1</v>
      </c>
      <c r="AU86" t="str">
        <f t="shared" si="144"/>
        <v/>
      </c>
      <c r="AV86" t="str">
        <f t="shared" si="145"/>
        <v/>
      </c>
      <c r="AW86" t="str">
        <f t="shared" si="146"/>
        <v/>
      </c>
      <c r="AX86" t="str">
        <f t="shared" si="147"/>
        <v/>
      </c>
      <c r="AY86" t="str">
        <f t="shared" si="148"/>
        <v/>
      </c>
      <c r="AZ86" t="str">
        <f t="shared" si="149"/>
        <v/>
      </c>
      <c r="BA86" t="str">
        <f t="shared" si="150"/>
        <v/>
      </c>
      <c r="BB86" t="str">
        <f t="shared" si="151"/>
        <v/>
      </c>
      <c r="BC86" t="str">
        <f t="shared" si="152"/>
        <v/>
      </c>
      <c r="BD86" t="str">
        <f t="shared" si="153"/>
        <v/>
      </c>
      <c r="BE86" t="str">
        <f t="shared" si="154"/>
        <v/>
      </c>
      <c r="BF86" t="str">
        <f t="shared" si="155"/>
        <v/>
      </c>
      <c r="BG86" t="str">
        <f t="shared" si="156"/>
        <v/>
      </c>
      <c r="BH86" t="str">
        <f t="shared" si="157"/>
        <v/>
      </c>
      <c r="BI86" t="str">
        <f t="shared" si="158"/>
        <v/>
      </c>
      <c r="BK86">
        <f t="shared" si="161"/>
        <v>1</v>
      </c>
      <c r="BL86">
        <f t="shared" si="162"/>
        <v>4</v>
      </c>
      <c r="BM86">
        <f t="shared" si="163"/>
        <v>4</v>
      </c>
      <c r="BN86">
        <f t="shared" si="164"/>
        <v>1</v>
      </c>
      <c r="BO86">
        <f t="shared" si="165"/>
        <v>0</v>
      </c>
      <c r="BP86">
        <f t="shared" si="166"/>
        <v>0</v>
      </c>
      <c r="BQ86">
        <f t="shared" si="167"/>
        <v>0</v>
      </c>
      <c r="BR86">
        <f t="shared" si="168"/>
        <v>0</v>
      </c>
      <c r="BS86">
        <f t="shared" si="169"/>
        <v>0</v>
      </c>
      <c r="BT86">
        <f t="shared" si="170"/>
        <v>0</v>
      </c>
      <c r="BU86">
        <f t="shared" si="171"/>
        <v>0</v>
      </c>
      <c r="BV86">
        <f t="shared" si="172"/>
        <v>0</v>
      </c>
      <c r="BW86">
        <f t="shared" si="173"/>
        <v>0</v>
      </c>
      <c r="BX86">
        <f t="shared" si="174"/>
        <v>0</v>
      </c>
      <c r="BY86">
        <f t="shared" si="175"/>
        <v>0</v>
      </c>
      <c r="BZ86">
        <f t="shared" si="176"/>
        <v>0</v>
      </c>
      <c r="CA86">
        <f t="shared" si="177"/>
        <v>0</v>
      </c>
      <c r="CB86">
        <f t="shared" si="178"/>
        <v>0</v>
      </c>
      <c r="CC86">
        <f t="shared" si="179"/>
        <v>0</v>
      </c>
      <c r="CE86" t="str">
        <f t="shared" si="180"/>
        <v>074</v>
      </c>
      <c r="CF86" t="str">
        <f t="shared" si="181"/>
        <v>00</v>
      </c>
      <c r="CG86" t="str">
        <f t="shared" si="181"/>
        <v>00</v>
      </c>
      <c r="CH86" t="str">
        <f t="shared" si="181"/>
        <v>00</v>
      </c>
      <c r="CI86" t="str">
        <f t="shared" si="182"/>
        <v>01</v>
      </c>
      <c r="CJ86" t="str">
        <f t="shared" si="183"/>
        <v>04</v>
      </c>
      <c r="CK86" t="str">
        <f t="shared" si="184"/>
        <v>04</v>
      </c>
      <c r="CL86" t="str">
        <f t="shared" si="185"/>
        <v>01</v>
      </c>
      <c r="CM86" t="str">
        <f t="shared" si="186"/>
        <v>00</v>
      </c>
      <c r="CN86" t="str">
        <f t="shared" si="187"/>
        <v>00</v>
      </c>
      <c r="CO86" t="str">
        <f t="shared" si="188"/>
        <v>00</v>
      </c>
      <c r="CP86" t="str">
        <f t="shared" si="189"/>
        <v>00</v>
      </c>
      <c r="CQ86" t="str">
        <f t="shared" si="190"/>
        <v>00</v>
      </c>
      <c r="CR86" t="str">
        <f t="shared" si="191"/>
        <v>00</v>
      </c>
      <c r="CS86" t="str">
        <f t="shared" si="192"/>
        <v>00</v>
      </c>
      <c r="CT86" t="str">
        <f t="shared" si="193"/>
        <v>00</v>
      </c>
      <c r="CU86" t="str">
        <f t="shared" si="194"/>
        <v>00</v>
      </c>
      <c r="CV86" t="str">
        <f t="shared" si="195"/>
        <v>00</v>
      </c>
      <c r="CW86" t="str">
        <f t="shared" si="196"/>
        <v>00</v>
      </c>
      <c r="CX86" t="str">
        <f t="shared" si="197"/>
        <v>00</v>
      </c>
      <c r="CY86" t="str">
        <f t="shared" si="198"/>
        <v>00</v>
      </c>
      <c r="CZ86" t="str">
        <f t="shared" si="199"/>
        <v>00</v>
      </c>
      <c r="DA86" t="str">
        <f t="shared" si="200"/>
        <v>00</v>
      </c>
      <c r="DB86" t="str">
        <f t="shared" si="201"/>
        <v>04</v>
      </c>
      <c r="DC86" t="str">
        <f t="shared" si="202"/>
        <v>0104040100000000000000000000000000000004</v>
      </c>
      <c r="DD86" t="str">
        <f t="shared" si="203"/>
        <v>Request keempat A</v>
      </c>
      <c r="DE86" t="s">
        <v>193</v>
      </c>
      <c r="DF86" t="s">
        <v>223</v>
      </c>
      <c r="DG86" t="s">
        <v>224</v>
      </c>
      <c r="DH86" t="s">
        <v>225</v>
      </c>
      <c r="DI86" t="s">
        <v>226</v>
      </c>
      <c r="DJ86" t="s">
        <v>227</v>
      </c>
      <c r="DK86" t="s">
        <v>228</v>
      </c>
      <c r="DL86" t="str">
        <f t="shared" si="204"/>
        <v>074,00,00,00,01,04,04,01,00,00,00,00,00,00,00,00,00,00,00,00,00,00,00,04,0104040100000000000000000000000000000004,Request keempat A,file74,Blk1,Blk2,Blk3,Blk4,Blk5,Blk6</v>
      </c>
    </row>
    <row r="87" spans="2:116" x14ac:dyDescent="0.25">
      <c r="B87">
        <f t="shared" si="205"/>
        <v>75</v>
      </c>
      <c r="F87" t="s">
        <v>88</v>
      </c>
      <c r="W87">
        <f t="shared" si="206"/>
        <v>0</v>
      </c>
      <c r="X87">
        <f t="shared" si="207"/>
        <v>0</v>
      </c>
      <c r="Y87">
        <f t="shared" si="208"/>
        <v>0</v>
      </c>
      <c r="Z87">
        <f t="shared" si="209"/>
        <v>1</v>
      </c>
      <c r="AA87">
        <f t="shared" si="210"/>
        <v>0</v>
      </c>
      <c r="AB87">
        <f t="shared" si="211"/>
        <v>0</v>
      </c>
      <c r="AC87">
        <f t="shared" si="212"/>
        <v>0</v>
      </c>
      <c r="AD87">
        <f t="shared" si="213"/>
        <v>0</v>
      </c>
      <c r="AE87">
        <f t="shared" si="214"/>
        <v>0</v>
      </c>
      <c r="AF87">
        <f t="shared" si="215"/>
        <v>0</v>
      </c>
      <c r="AG87">
        <f t="shared" si="216"/>
        <v>0</v>
      </c>
      <c r="AH87">
        <f t="shared" si="217"/>
        <v>0</v>
      </c>
      <c r="AI87">
        <f t="shared" si="218"/>
        <v>0</v>
      </c>
      <c r="AJ87">
        <f t="shared" si="219"/>
        <v>0</v>
      </c>
      <c r="AK87">
        <f t="shared" si="220"/>
        <v>0</v>
      </c>
      <c r="AL87">
        <f t="shared" si="221"/>
        <v>0</v>
      </c>
      <c r="AM87">
        <f t="shared" si="222"/>
        <v>0</v>
      </c>
      <c r="AN87">
        <f t="shared" si="223"/>
        <v>0</v>
      </c>
      <c r="AO87">
        <f t="shared" si="224"/>
        <v>0</v>
      </c>
      <c r="AP87" s="2" t="str">
        <f t="shared" si="160"/>
        <v/>
      </c>
      <c r="AQ87" t="str">
        <f t="shared" si="140"/>
        <v>S</v>
      </c>
      <c r="AR87" t="str">
        <f t="shared" si="141"/>
        <v>S</v>
      </c>
      <c r="AS87" t="str">
        <f t="shared" si="142"/>
        <v>S</v>
      </c>
      <c r="AT87" t="str">
        <f t="shared" si="143"/>
        <v>+</v>
      </c>
      <c r="AU87" t="str">
        <f t="shared" si="144"/>
        <v/>
      </c>
      <c r="AV87" t="str">
        <f t="shared" si="145"/>
        <v/>
      </c>
      <c r="AW87" t="str">
        <f t="shared" si="146"/>
        <v/>
      </c>
      <c r="AX87" t="str">
        <f t="shared" si="147"/>
        <v/>
      </c>
      <c r="AY87" t="str">
        <f t="shared" si="148"/>
        <v/>
      </c>
      <c r="AZ87" t="str">
        <f t="shared" si="149"/>
        <v/>
      </c>
      <c r="BA87" t="str">
        <f t="shared" si="150"/>
        <v/>
      </c>
      <c r="BB87" t="str">
        <f t="shared" si="151"/>
        <v/>
      </c>
      <c r="BC87" t="str">
        <f t="shared" si="152"/>
        <v/>
      </c>
      <c r="BD87" t="str">
        <f t="shared" si="153"/>
        <v/>
      </c>
      <c r="BE87" t="str">
        <f t="shared" si="154"/>
        <v/>
      </c>
      <c r="BF87" t="str">
        <f t="shared" si="155"/>
        <v/>
      </c>
      <c r="BG87" t="str">
        <f t="shared" si="156"/>
        <v/>
      </c>
      <c r="BH87" t="str">
        <f t="shared" si="157"/>
        <v/>
      </c>
      <c r="BI87" t="str">
        <f t="shared" si="158"/>
        <v/>
      </c>
      <c r="BK87">
        <f t="shared" si="161"/>
        <v>1</v>
      </c>
      <c r="BL87">
        <f t="shared" si="162"/>
        <v>4</v>
      </c>
      <c r="BM87">
        <f t="shared" si="163"/>
        <v>4</v>
      </c>
      <c r="BN87">
        <f t="shared" si="164"/>
        <v>2</v>
      </c>
      <c r="BO87">
        <f t="shared" si="165"/>
        <v>0</v>
      </c>
      <c r="BP87">
        <f t="shared" si="166"/>
        <v>0</v>
      </c>
      <c r="BQ87">
        <f t="shared" si="167"/>
        <v>0</v>
      </c>
      <c r="BR87">
        <f t="shared" si="168"/>
        <v>0</v>
      </c>
      <c r="BS87">
        <f t="shared" si="169"/>
        <v>0</v>
      </c>
      <c r="BT87">
        <f t="shared" si="170"/>
        <v>0</v>
      </c>
      <c r="BU87">
        <f t="shared" si="171"/>
        <v>0</v>
      </c>
      <c r="BV87">
        <f t="shared" si="172"/>
        <v>0</v>
      </c>
      <c r="BW87">
        <f t="shared" si="173"/>
        <v>0</v>
      </c>
      <c r="BX87">
        <f t="shared" si="174"/>
        <v>0</v>
      </c>
      <c r="BY87">
        <f t="shared" si="175"/>
        <v>0</v>
      </c>
      <c r="BZ87">
        <f t="shared" si="176"/>
        <v>0</v>
      </c>
      <c r="CA87">
        <f t="shared" si="177"/>
        <v>0</v>
      </c>
      <c r="CB87">
        <f t="shared" si="178"/>
        <v>0</v>
      </c>
      <c r="CC87">
        <f t="shared" si="179"/>
        <v>0</v>
      </c>
      <c r="CE87" t="str">
        <f t="shared" si="180"/>
        <v>075</v>
      </c>
      <c r="CF87" t="str">
        <f t="shared" si="181"/>
        <v>00</v>
      </c>
      <c r="CG87" t="str">
        <f t="shared" si="181"/>
        <v>00</v>
      </c>
      <c r="CH87" t="str">
        <f t="shared" si="181"/>
        <v>00</v>
      </c>
      <c r="CI87" t="str">
        <f t="shared" si="182"/>
        <v>01</v>
      </c>
      <c r="CJ87" t="str">
        <f t="shared" si="183"/>
        <v>04</v>
      </c>
      <c r="CK87" t="str">
        <f t="shared" si="184"/>
        <v>04</v>
      </c>
      <c r="CL87" t="str">
        <f t="shared" si="185"/>
        <v>02</v>
      </c>
      <c r="CM87" t="str">
        <f t="shared" si="186"/>
        <v>00</v>
      </c>
      <c r="CN87" t="str">
        <f t="shared" si="187"/>
        <v>00</v>
      </c>
      <c r="CO87" t="str">
        <f t="shared" si="188"/>
        <v>00</v>
      </c>
      <c r="CP87" t="str">
        <f t="shared" si="189"/>
        <v>00</v>
      </c>
      <c r="CQ87" t="str">
        <f t="shared" si="190"/>
        <v>00</v>
      </c>
      <c r="CR87" t="str">
        <f t="shared" si="191"/>
        <v>00</v>
      </c>
      <c r="CS87" t="str">
        <f t="shared" si="192"/>
        <v>00</v>
      </c>
      <c r="CT87" t="str">
        <f t="shared" si="193"/>
        <v>00</v>
      </c>
      <c r="CU87" t="str">
        <f t="shared" si="194"/>
        <v>00</v>
      </c>
      <c r="CV87" t="str">
        <f t="shared" si="195"/>
        <v>00</v>
      </c>
      <c r="CW87" t="str">
        <f t="shared" si="196"/>
        <v>00</v>
      </c>
      <c r="CX87" t="str">
        <f t="shared" si="197"/>
        <v>00</v>
      </c>
      <c r="CY87" t="str">
        <f t="shared" si="198"/>
        <v>00</v>
      </c>
      <c r="CZ87" t="str">
        <f t="shared" si="199"/>
        <v>00</v>
      </c>
      <c r="DA87" t="str">
        <f t="shared" si="200"/>
        <v>00</v>
      </c>
      <c r="DB87" t="str">
        <f t="shared" si="201"/>
        <v>04</v>
      </c>
      <c r="DC87" t="str">
        <f t="shared" si="202"/>
        <v>0104040200000000000000000000000000000004</v>
      </c>
      <c r="DD87" t="str">
        <f t="shared" si="203"/>
        <v>Request keempat B</v>
      </c>
      <c r="DE87" t="s">
        <v>194</v>
      </c>
      <c r="DF87" t="s">
        <v>223</v>
      </c>
      <c r="DG87" t="s">
        <v>224</v>
      </c>
      <c r="DH87" t="s">
        <v>225</v>
      </c>
      <c r="DI87" t="s">
        <v>226</v>
      </c>
      <c r="DJ87" t="s">
        <v>227</v>
      </c>
      <c r="DK87" t="s">
        <v>228</v>
      </c>
      <c r="DL87" t="str">
        <f t="shared" si="204"/>
        <v>075,00,00,00,01,04,04,02,00,00,00,00,00,00,00,00,00,00,00,00,00,00,00,04,0104040200000000000000000000000000000004,Request keempat B,file75,Blk1,Blk2,Blk3,Blk4,Blk5,Blk6</v>
      </c>
    </row>
    <row r="88" spans="2:116" x14ac:dyDescent="0.25">
      <c r="B88">
        <f t="shared" si="205"/>
        <v>76</v>
      </c>
      <c r="E88" t="s">
        <v>89</v>
      </c>
      <c r="W88">
        <f t="shared" si="206"/>
        <v>0</v>
      </c>
      <c r="X88">
        <f t="shared" si="207"/>
        <v>0</v>
      </c>
      <c r="Y88">
        <f t="shared" si="208"/>
        <v>1</v>
      </c>
      <c r="Z88">
        <f t="shared" si="209"/>
        <v>0</v>
      </c>
      <c r="AA88">
        <f t="shared" si="210"/>
        <v>0</v>
      </c>
      <c r="AB88">
        <f t="shared" si="211"/>
        <v>0</v>
      </c>
      <c r="AC88">
        <f t="shared" si="212"/>
        <v>0</v>
      </c>
      <c r="AD88">
        <f t="shared" si="213"/>
        <v>0</v>
      </c>
      <c r="AE88">
        <f t="shared" si="214"/>
        <v>0</v>
      </c>
      <c r="AF88">
        <f t="shared" si="215"/>
        <v>0</v>
      </c>
      <c r="AG88">
        <f t="shared" si="216"/>
        <v>0</v>
      </c>
      <c r="AH88">
        <f t="shared" si="217"/>
        <v>0</v>
      </c>
      <c r="AI88">
        <f t="shared" si="218"/>
        <v>0</v>
      </c>
      <c r="AJ88">
        <f t="shared" si="219"/>
        <v>0</v>
      </c>
      <c r="AK88">
        <f t="shared" si="220"/>
        <v>0</v>
      </c>
      <c r="AL88">
        <f t="shared" si="221"/>
        <v>0</v>
      </c>
      <c r="AM88">
        <f t="shared" si="222"/>
        <v>0</v>
      </c>
      <c r="AN88">
        <f t="shared" si="223"/>
        <v>0</v>
      </c>
      <c r="AO88">
        <f t="shared" si="224"/>
        <v>0</v>
      </c>
      <c r="AP88" s="2" t="str">
        <f t="shared" si="160"/>
        <v/>
      </c>
      <c r="AQ88" t="str">
        <f t="shared" si="140"/>
        <v>S</v>
      </c>
      <c r="AR88" t="str">
        <f t="shared" si="141"/>
        <v>S</v>
      </c>
      <c r="AS88" t="str">
        <f t="shared" si="142"/>
        <v>+</v>
      </c>
      <c r="AT88" t="str">
        <f t="shared" si="143"/>
        <v/>
      </c>
      <c r="AU88" t="str">
        <f t="shared" si="144"/>
        <v/>
      </c>
      <c r="AV88" t="str">
        <f t="shared" si="145"/>
        <v/>
      </c>
      <c r="AW88" t="str">
        <f t="shared" si="146"/>
        <v/>
      </c>
      <c r="AX88" t="str">
        <f t="shared" si="147"/>
        <v/>
      </c>
      <c r="AY88" t="str">
        <f t="shared" si="148"/>
        <v/>
      </c>
      <c r="AZ88" t="str">
        <f t="shared" si="149"/>
        <v/>
      </c>
      <c r="BA88" t="str">
        <f t="shared" si="150"/>
        <v/>
      </c>
      <c r="BB88" t="str">
        <f t="shared" si="151"/>
        <v/>
      </c>
      <c r="BC88" t="str">
        <f t="shared" si="152"/>
        <v/>
      </c>
      <c r="BD88" t="str">
        <f t="shared" si="153"/>
        <v/>
      </c>
      <c r="BE88" t="str">
        <f t="shared" si="154"/>
        <v/>
      </c>
      <c r="BF88" t="str">
        <f t="shared" si="155"/>
        <v/>
      </c>
      <c r="BG88" t="str">
        <f t="shared" si="156"/>
        <v/>
      </c>
      <c r="BH88" t="str">
        <f t="shared" si="157"/>
        <v/>
      </c>
      <c r="BI88" t="str">
        <f t="shared" si="158"/>
        <v/>
      </c>
      <c r="BK88">
        <f t="shared" si="161"/>
        <v>1</v>
      </c>
      <c r="BL88">
        <f t="shared" si="162"/>
        <v>4</v>
      </c>
      <c r="BM88">
        <f t="shared" si="163"/>
        <v>5</v>
      </c>
      <c r="BN88">
        <f t="shared" si="164"/>
        <v>0</v>
      </c>
      <c r="BO88">
        <f t="shared" si="165"/>
        <v>0</v>
      </c>
      <c r="BP88">
        <f t="shared" si="166"/>
        <v>0</v>
      </c>
      <c r="BQ88">
        <f t="shared" si="167"/>
        <v>0</v>
      </c>
      <c r="BR88">
        <f t="shared" si="168"/>
        <v>0</v>
      </c>
      <c r="BS88">
        <f t="shared" si="169"/>
        <v>0</v>
      </c>
      <c r="BT88">
        <f t="shared" si="170"/>
        <v>0</v>
      </c>
      <c r="BU88">
        <f t="shared" si="171"/>
        <v>0</v>
      </c>
      <c r="BV88">
        <f t="shared" si="172"/>
        <v>0</v>
      </c>
      <c r="BW88">
        <f t="shared" si="173"/>
        <v>0</v>
      </c>
      <c r="BX88">
        <f t="shared" si="174"/>
        <v>0</v>
      </c>
      <c r="BY88">
        <f t="shared" si="175"/>
        <v>0</v>
      </c>
      <c r="BZ88">
        <f t="shared" si="176"/>
        <v>0</v>
      </c>
      <c r="CA88">
        <f t="shared" si="177"/>
        <v>0</v>
      </c>
      <c r="CB88">
        <f t="shared" si="178"/>
        <v>0</v>
      </c>
      <c r="CC88">
        <f t="shared" si="179"/>
        <v>0</v>
      </c>
      <c r="CE88" t="str">
        <f t="shared" si="180"/>
        <v>076</v>
      </c>
      <c r="CF88" t="str">
        <f t="shared" si="181"/>
        <v>00</v>
      </c>
      <c r="CG88" t="str">
        <f t="shared" si="181"/>
        <v>00</v>
      </c>
      <c r="CH88" t="str">
        <f t="shared" si="181"/>
        <v>00</v>
      </c>
      <c r="CI88" t="str">
        <f t="shared" si="182"/>
        <v>01</v>
      </c>
      <c r="CJ88" t="str">
        <f t="shared" si="183"/>
        <v>04</v>
      </c>
      <c r="CK88" t="str">
        <f t="shared" si="184"/>
        <v>05</v>
      </c>
      <c r="CL88" t="str">
        <f t="shared" si="185"/>
        <v>00</v>
      </c>
      <c r="CM88" t="str">
        <f t="shared" si="186"/>
        <v>00</v>
      </c>
      <c r="CN88" t="str">
        <f t="shared" si="187"/>
        <v>00</v>
      </c>
      <c r="CO88" t="str">
        <f t="shared" si="188"/>
        <v>00</v>
      </c>
      <c r="CP88" t="str">
        <f t="shared" si="189"/>
        <v>00</v>
      </c>
      <c r="CQ88" t="str">
        <f t="shared" si="190"/>
        <v>00</v>
      </c>
      <c r="CR88" t="str">
        <f t="shared" si="191"/>
        <v>00</v>
      </c>
      <c r="CS88" t="str">
        <f t="shared" si="192"/>
        <v>00</v>
      </c>
      <c r="CT88" t="str">
        <f t="shared" si="193"/>
        <v>00</v>
      </c>
      <c r="CU88" t="str">
        <f t="shared" si="194"/>
        <v>00</v>
      </c>
      <c r="CV88" t="str">
        <f t="shared" si="195"/>
        <v>00</v>
      </c>
      <c r="CW88" t="str">
        <f t="shared" si="196"/>
        <v>00</v>
      </c>
      <c r="CX88" t="str">
        <f t="shared" si="197"/>
        <v>00</v>
      </c>
      <c r="CY88" t="str">
        <f t="shared" si="198"/>
        <v>00</v>
      </c>
      <c r="CZ88" t="str">
        <f t="shared" si="199"/>
        <v>00</v>
      </c>
      <c r="DA88" t="str">
        <f t="shared" si="200"/>
        <v>00</v>
      </c>
      <c r="DB88" t="str">
        <f t="shared" si="201"/>
        <v>03</v>
      </c>
      <c r="DC88" t="str">
        <f t="shared" si="202"/>
        <v>0104050000000000000000000000000000000003</v>
      </c>
      <c r="DD88" t="str">
        <f t="shared" si="203"/>
        <v>Request kelima</v>
      </c>
      <c r="DE88" t="s">
        <v>195</v>
      </c>
      <c r="DF88" t="s">
        <v>223</v>
      </c>
      <c r="DG88" t="s">
        <v>224</v>
      </c>
      <c r="DH88" t="s">
        <v>225</v>
      </c>
      <c r="DI88" t="s">
        <v>226</v>
      </c>
      <c r="DJ88" t="s">
        <v>227</v>
      </c>
      <c r="DK88" t="s">
        <v>228</v>
      </c>
      <c r="DL88" t="str">
        <f t="shared" si="204"/>
        <v>076,00,00,00,01,04,05,00,00,00,00,00,00,00,00,00,00,00,00,00,00,00,00,03,0104050000000000000000000000000000000003,Request kelima,file76,Blk1,Blk2,Blk3,Blk4,Blk5,Blk6</v>
      </c>
    </row>
    <row r="89" spans="2:116" x14ac:dyDescent="0.25">
      <c r="B89">
        <f t="shared" si="205"/>
        <v>77</v>
      </c>
      <c r="F89" t="s">
        <v>90</v>
      </c>
      <c r="W89">
        <f t="shared" si="206"/>
        <v>0</v>
      </c>
      <c r="X89">
        <f t="shared" si="207"/>
        <v>0</v>
      </c>
      <c r="Y89">
        <f t="shared" si="208"/>
        <v>0</v>
      </c>
      <c r="Z89">
        <f t="shared" si="209"/>
        <v>1</v>
      </c>
      <c r="AA89">
        <f t="shared" si="210"/>
        <v>0</v>
      </c>
      <c r="AB89">
        <f t="shared" si="211"/>
        <v>0</v>
      </c>
      <c r="AC89">
        <f t="shared" si="212"/>
        <v>0</v>
      </c>
      <c r="AD89">
        <f t="shared" si="213"/>
        <v>0</v>
      </c>
      <c r="AE89">
        <f t="shared" si="214"/>
        <v>0</v>
      </c>
      <c r="AF89">
        <f t="shared" si="215"/>
        <v>0</v>
      </c>
      <c r="AG89">
        <f t="shared" si="216"/>
        <v>0</v>
      </c>
      <c r="AH89">
        <f t="shared" si="217"/>
        <v>0</v>
      </c>
      <c r="AI89">
        <f t="shared" si="218"/>
        <v>0</v>
      </c>
      <c r="AJ89">
        <f t="shared" si="219"/>
        <v>0</v>
      </c>
      <c r="AK89">
        <f t="shared" si="220"/>
        <v>0</v>
      </c>
      <c r="AL89">
        <f t="shared" si="221"/>
        <v>0</v>
      </c>
      <c r="AM89">
        <f t="shared" si="222"/>
        <v>0</v>
      </c>
      <c r="AN89">
        <f t="shared" si="223"/>
        <v>0</v>
      </c>
      <c r="AO89">
        <f t="shared" si="224"/>
        <v>0</v>
      </c>
      <c r="AP89" s="2" t="str">
        <f t="shared" si="160"/>
        <v/>
      </c>
      <c r="AQ89" t="str">
        <f t="shared" si="140"/>
        <v>S</v>
      </c>
      <c r="AR89" t="str">
        <f t="shared" si="141"/>
        <v>S</v>
      </c>
      <c r="AS89" t="str">
        <f t="shared" si="142"/>
        <v>S</v>
      </c>
      <c r="AT89">
        <f t="shared" si="143"/>
        <v>1</v>
      </c>
      <c r="AU89" t="str">
        <f t="shared" si="144"/>
        <v/>
      </c>
      <c r="AV89" t="str">
        <f t="shared" si="145"/>
        <v/>
      </c>
      <c r="AW89" t="str">
        <f t="shared" si="146"/>
        <v/>
      </c>
      <c r="AX89" t="str">
        <f t="shared" si="147"/>
        <v/>
      </c>
      <c r="AY89" t="str">
        <f t="shared" si="148"/>
        <v/>
      </c>
      <c r="AZ89" t="str">
        <f t="shared" si="149"/>
        <v/>
      </c>
      <c r="BA89" t="str">
        <f t="shared" si="150"/>
        <v/>
      </c>
      <c r="BB89" t="str">
        <f t="shared" si="151"/>
        <v/>
      </c>
      <c r="BC89" t="str">
        <f t="shared" si="152"/>
        <v/>
      </c>
      <c r="BD89" t="str">
        <f t="shared" si="153"/>
        <v/>
      </c>
      <c r="BE89" t="str">
        <f t="shared" si="154"/>
        <v/>
      </c>
      <c r="BF89" t="str">
        <f t="shared" si="155"/>
        <v/>
      </c>
      <c r="BG89" t="str">
        <f t="shared" si="156"/>
        <v/>
      </c>
      <c r="BH89" t="str">
        <f t="shared" si="157"/>
        <v/>
      </c>
      <c r="BI89" t="str">
        <f t="shared" si="158"/>
        <v/>
      </c>
      <c r="BK89">
        <f t="shared" si="161"/>
        <v>1</v>
      </c>
      <c r="BL89">
        <f t="shared" si="162"/>
        <v>4</v>
      </c>
      <c r="BM89">
        <f t="shared" si="163"/>
        <v>5</v>
      </c>
      <c r="BN89">
        <f t="shared" si="164"/>
        <v>1</v>
      </c>
      <c r="BO89">
        <f t="shared" si="165"/>
        <v>0</v>
      </c>
      <c r="BP89">
        <f t="shared" si="166"/>
        <v>0</v>
      </c>
      <c r="BQ89">
        <f t="shared" si="167"/>
        <v>0</v>
      </c>
      <c r="BR89">
        <f t="shared" si="168"/>
        <v>0</v>
      </c>
      <c r="BS89">
        <f t="shared" si="169"/>
        <v>0</v>
      </c>
      <c r="BT89">
        <f t="shared" si="170"/>
        <v>0</v>
      </c>
      <c r="BU89">
        <f t="shared" si="171"/>
        <v>0</v>
      </c>
      <c r="BV89">
        <f t="shared" si="172"/>
        <v>0</v>
      </c>
      <c r="BW89">
        <f t="shared" si="173"/>
        <v>0</v>
      </c>
      <c r="BX89">
        <f t="shared" si="174"/>
        <v>0</v>
      </c>
      <c r="BY89">
        <f t="shared" si="175"/>
        <v>0</v>
      </c>
      <c r="BZ89">
        <f t="shared" si="176"/>
        <v>0</v>
      </c>
      <c r="CA89">
        <f t="shared" si="177"/>
        <v>0</v>
      </c>
      <c r="CB89">
        <f t="shared" si="178"/>
        <v>0</v>
      </c>
      <c r="CC89">
        <f t="shared" si="179"/>
        <v>0</v>
      </c>
      <c r="CE89" t="str">
        <f t="shared" si="180"/>
        <v>077</v>
      </c>
      <c r="CF89" t="str">
        <f t="shared" si="181"/>
        <v>00</v>
      </c>
      <c r="CG89" t="str">
        <f t="shared" si="181"/>
        <v>00</v>
      </c>
      <c r="CH89" t="str">
        <f t="shared" si="181"/>
        <v>00</v>
      </c>
      <c r="CI89" t="str">
        <f t="shared" si="182"/>
        <v>01</v>
      </c>
      <c r="CJ89" t="str">
        <f t="shared" si="183"/>
        <v>04</v>
      </c>
      <c r="CK89" t="str">
        <f t="shared" si="184"/>
        <v>05</v>
      </c>
      <c r="CL89" t="str">
        <f t="shared" si="185"/>
        <v>01</v>
      </c>
      <c r="CM89" t="str">
        <f t="shared" si="186"/>
        <v>00</v>
      </c>
      <c r="CN89" t="str">
        <f t="shared" si="187"/>
        <v>00</v>
      </c>
      <c r="CO89" t="str">
        <f t="shared" si="188"/>
        <v>00</v>
      </c>
      <c r="CP89" t="str">
        <f t="shared" si="189"/>
        <v>00</v>
      </c>
      <c r="CQ89" t="str">
        <f t="shared" si="190"/>
        <v>00</v>
      </c>
      <c r="CR89" t="str">
        <f t="shared" si="191"/>
        <v>00</v>
      </c>
      <c r="CS89" t="str">
        <f t="shared" si="192"/>
        <v>00</v>
      </c>
      <c r="CT89" t="str">
        <f t="shared" si="193"/>
        <v>00</v>
      </c>
      <c r="CU89" t="str">
        <f t="shared" si="194"/>
        <v>00</v>
      </c>
      <c r="CV89" t="str">
        <f t="shared" si="195"/>
        <v>00</v>
      </c>
      <c r="CW89" t="str">
        <f t="shared" si="196"/>
        <v>00</v>
      </c>
      <c r="CX89" t="str">
        <f t="shared" si="197"/>
        <v>00</v>
      </c>
      <c r="CY89" t="str">
        <f t="shared" si="198"/>
        <v>00</v>
      </c>
      <c r="CZ89" t="str">
        <f t="shared" si="199"/>
        <v>00</v>
      </c>
      <c r="DA89" t="str">
        <f t="shared" si="200"/>
        <v>00</v>
      </c>
      <c r="DB89" t="str">
        <f t="shared" si="201"/>
        <v>04</v>
      </c>
      <c r="DC89" t="str">
        <f t="shared" si="202"/>
        <v>0104050100000000000000000000000000000004</v>
      </c>
      <c r="DD89" t="str">
        <f t="shared" si="203"/>
        <v>Request kelima A</v>
      </c>
      <c r="DE89" t="s">
        <v>196</v>
      </c>
      <c r="DF89" t="s">
        <v>223</v>
      </c>
      <c r="DG89" t="s">
        <v>224</v>
      </c>
      <c r="DH89" t="s">
        <v>225</v>
      </c>
      <c r="DI89" t="s">
        <v>226</v>
      </c>
      <c r="DJ89" t="s">
        <v>227</v>
      </c>
      <c r="DK89" t="s">
        <v>228</v>
      </c>
      <c r="DL89" t="str">
        <f t="shared" si="204"/>
        <v>077,00,00,00,01,04,05,01,00,00,00,00,00,00,00,00,00,00,00,00,00,00,00,04,0104050100000000000000000000000000000004,Request kelima A,file77,Blk1,Blk2,Blk3,Blk4,Blk5,Blk6</v>
      </c>
    </row>
    <row r="90" spans="2:116" x14ac:dyDescent="0.25">
      <c r="B90">
        <f t="shared" si="205"/>
        <v>78</v>
      </c>
      <c r="F90" t="s">
        <v>91</v>
      </c>
      <c r="W90">
        <f t="shared" si="206"/>
        <v>0</v>
      </c>
      <c r="X90">
        <f t="shared" si="207"/>
        <v>0</v>
      </c>
      <c r="Y90">
        <f t="shared" si="208"/>
        <v>0</v>
      </c>
      <c r="Z90">
        <f t="shared" si="209"/>
        <v>1</v>
      </c>
      <c r="AA90">
        <f t="shared" si="210"/>
        <v>0</v>
      </c>
      <c r="AB90">
        <f t="shared" si="211"/>
        <v>0</v>
      </c>
      <c r="AC90">
        <f t="shared" si="212"/>
        <v>0</v>
      </c>
      <c r="AD90">
        <f t="shared" si="213"/>
        <v>0</v>
      </c>
      <c r="AE90">
        <f t="shared" si="214"/>
        <v>0</v>
      </c>
      <c r="AF90">
        <f t="shared" si="215"/>
        <v>0</v>
      </c>
      <c r="AG90">
        <f t="shared" si="216"/>
        <v>0</v>
      </c>
      <c r="AH90">
        <f t="shared" si="217"/>
        <v>0</v>
      </c>
      <c r="AI90">
        <f t="shared" si="218"/>
        <v>0</v>
      </c>
      <c r="AJ90">
        <f t="shared" si="219"/>
        <v>0</v>
      </c>
      <c r="AK90">
        <f t="shared" si="220"/>
        <v>0</v>
      </c>
      <c r="AL90">
        <f t="shared" si="221"/>
        <v>0</v>
      </c>
      <c r="AM90">
        <f t="shared" si="222"/>
        <v>0</v>
      </c>
      <c r="AN90">
        <f t="shared" si="223"/>
        <v>0</v>
      </c>
      <c r="AO90">
        <f t="shared" si="224"/>
        <v>0</v>
      </c>
      <c r="AP90" s="2" t="str">
        <f t="shared" si="160"/>
        <v/>
      </c>
      <c r="AQ90" t="str">
        <f t="shared" ref="AQ90:AQ118" si="225">IF(AND(W90=1,W89=1),"+",IF(AND(W90=1,W89=0),IF(AQ89="S","+",1),IF(AND(AQ89&lt;&gt;"",AR90&lt;&gt;""),"S","")))</f>
        <v>S</v>
      </c>
      <c r="AR90" t="str">
        <f t="shared" ref="AR90:AR118" si="226">IF(AND(X90=1,X89=1),"+",IF(AND(X90=1,X89=0),IF(AR89="S","+",1),IF(AND(AR89&lt;&gt;"",AS90&lt;&gt;""),"S","")))</f>
        <v>S</v>
      </c>
      <c r="AS90" t="str">
        <f t="shared" ref="AS90:AS118" si="227">IF(AND(Y90=1,Y89=1),"+",IF(AND(Y90=1,Y89=0),IF(AS89="S","+",1),IF(AND(AS89&lt;&gt;"",AT90&lt;&gt;""),"S","")))</f>
        <v>S</v>
      </c>
      <c r="AT90" t="str">
        <f t="shared" ref="AT90:AT118" si="228">IF(AND(Z90=1,Z89=1),"+",IF(AND(Z90=1,Z89=0),IF(AT89="S","+",1),IF(AND(AT89&lt;&gt;"",AU90&lt;&gt;""),"S","")))</f>
        <v>+</v>
      </c>
      <c r="AU90" t="str">
        <f t="shared" ref="AU90:AU118" si="229">IF(AND(AA90=1,AA89=1),"+",IF(AND(AA90=1,AA89=0),IF(AU89="S","+",1),IF(AND(AU89&lt;&gt;"",AV90&lt;&gt;""),"S","")))</f>
        <v/>
      </c>
      <c r="AV90" t="str">
        <f t="shared" ref="AV90:AV118" si="230">IF(AND(AB90=1,AB89=1),"+",IF(AND(AB90=1,AB89=0),IF(AV89="S","+",1),IF(AND(AV89&lt;&gt;"",AW90&lt;&gt;""),"S","")))</f>
        <v/>
      </c>
      <c r="AW90" t="str">
        <f t="shared" ref="AW90:AW118" si="231">IF(AND(AC90=1,AC89=1),"+",IF(AND(AC90=1,AC89=0),IF(AW89="S","+",1),IF(AND(AW89&lt;&gt;"",AX90&lt;&gt;""),"S","")))</f>
        <v/>
      </c>
      <c r="AX90" t="str">
        <f t="shared" ref="AX90:AX118" si="232">IF(AND(AD90=1,AD89=1),"+",IF(AND(AD90=1,AD89=0),IF(AX89="S","+",1),IF(AND(AX89&lt;&gt;"",AY90&lt;&gt;""),"S","")))</f>
        <v/>
      </c>
      <c r="AY90" t="str">
        <f t="shared" ref="AY90:AY118" si="233">IF(AND(AE90=1,AE89=1),"+",IF(AND(AE90=1,AE89=0),IF(AY89="S","+",1),IF(AND(AY89&lt;&gt;"",AZ90&lt;&gt;""),"S","")))</f>
        <v/>
      </c>
      <c r="AZ90" t="str">
        <f t="shared" ref="AZ90:AZ118" si="234">IF(AND(AF90=1,AF89=1),"+",IF(AND(AF90=1,AF89=0),IF(AZ89="S","+",1),IF(AND(AZ89&lt;&gt;"",BA90&lt;&gt;""),"S","")))</f>
        <v/>
      </c>
      <c r="BA90" t="str">
        <f t="shared" ref="BA90:BA118" si="235">IF(AND(AG90=1,AG89=1),"+",IF(AND(AG90=1,AG89=0),IF(BA89="S","+",1),IF(AND(BA89&lt;&gt;"",BB90&lt;&gt;""),"S","")))</f>
        <v/>
      </c>
      <c r="BB90" t="str">
        <f t="shared" ref="BB90:BB118" si="236">IF(AND(AH90=1,AH89=1),"+",IF(AND(AH90=1,AH89=0),IF(BB89="S","+",1),IF(AND(BB89&lt;&gt;"",BC90&lt;&gt;""),"S","")))</f>
        <v/>
      </c>
      <c r="BC90" t="str">
        <f t="shared" ref="BC90:BC118" si="237">IF(AND(AI90=1,AI89=1),"+",IF(AND(AI90=1,AI89=0),IF(BC89="S","+",1),IF(AND(BC89&lt;&gt;"",BD90&lt;&gt;""),"S","")))</f>
        <v/>
      </c>
      <c r="BD90" t="str">
        <f t="shared" ref="BD90:BD118" si="238">IF(AND(AJ90=1,AJ89=1),"+",IF(AND(AJ90=1,AJ89=0),IF(BD89="S","+",1),IF(AND(BD89&lt;&gt;"",BE90&lt;&gt;""),"S","")))</f>
        <v/>
      </c>
      <c r="BE90" t="str">
        <f t="shared" ref="BE90:BE118" si="239">IF(AND(AK90=1,AK89=1),"+",IF(AND(AK90=1,AK89=0),IF(BE89="S","+",1),IF(AND(BE89&lt;&gt;"",BF90&lt;&gt;""),"S","")))</f>
        <v/>
      </c>
      <c r="BF90" t="str">
        <f t="shared" ref="BF90:BF118" si="240">IF(AND(AL90=1,AL89=1),"+",IF(AND(AL90=1,AL89=0),IF(BF89="S","+",1),IF(AND(BF89&lt;&gt;"",BG90&lt;&gt;""),"S","")))</f>
        <v/>
      </c>
      <c r="BG90" t="str">
        <f t="shared" ref="BG90:BG118" si="241">IF(AND(AM90=1,AM89=1),"+",IF(AND(AM90=1,AM89=0),IF(BG89="S","+",1),IF(AND(BG89&lt;&gt;"",BH90&lt;&gt;""),"S","")))</f>
        <v/>
      </c>
      <c r="BH90" t="str">
        <f t="shared" ref="BH90:BH118" si="242">IF(AND(AN90=1,AN89=1),"+",IF(AND(AN90=1,AN89=0),IF(BH89="S","+",1),IF(AND(BH89&lt;&gt;"",BI90&lt;&gt;""),"S","")))</f>
        <v/>
      </c>
      <c r="BI90" t="str">
        <f t="shared" ref="BI90:BI118" si="243">IF(AND(AO90=1,AO89=1),"+",IF(AND(AO90=1,AO89=0),IF(BI89="S","+",1),IF(AND(BI89&lt;&gt;"",BJ90&lt;&gt;""),"S","")))</f>
        <v/>
      </c>
      <c r="BK90">
        <f t="shared" si="161"/>
        <v>1</v>
      </c>
      <c r="BL90">
        <f t="shared" si="162"/>
        <v>4</v>
      </c>
      <c r="BM90">
        <f t="shared" si="163"/>
        <v>5</v>
      </c>
      <c r="BN90">
        <f t="shared" si="164"/>
        <v>2</v>
      </c>
      <c r="BO90">
        <f t="shared" si="165"/>
        <v>0</v>
      </c>
      <c r="BP90">
        <f t="shared" si="166"/>
        <v>0</v>
      </c>
      <c r="BQ90">
        <f t="shared" si="167"/>
        <v>0</v>
      </c>
      <c r="BR90">
        <f t="shared" si="168"/>
        <v>0</v>
      </c>
      <c r="BS90">
        <f t="shared" si="169"/>
        <v>0</v>
      </c>
      <c r="BT90">
        <f t="shared" si="170"/>
        <v>0</v>
      </c>
      <c r="BU90">
        <f t="shared" si="171"/>
        <v>0</v>
      </c>
      <c r="BV90">
        <f t="shared" si="172"/>
        <v>0</v>
      </c>
      <c r="BW90">
        <f t="shared" si="173"/>
        <v>0</v>
      </c>
      <c r="BX90">
        <f t="shared" si="174"/>
        <v>0</v>
      </c>
      <c r="BY90">
        <f t="shared" si="175"/>
        <v>0</v>
      </c>
      <c r="BZ90">
        <f t="shared" si="176"/>
        <v>0</v>
      </c>
      <c r="CA90">
        <f t="shared" si="177"/>
        <v>0</v>
      </c>
      <c r="CB90">
        <f t="shared" si="178"/>
        <v>0</v>
      </c>
      <c r="CC90">
        <f t="shared" si="179"/>
        <v>0</v>
      </c>
      <c r="CE90" t="str">
        <f t="shared" si="180"/>
        <v>078</v>
      </c>
      <c r="CF90" t="str">
        <f t="shared" si="181"/>
        <v>00</v>
      </c>
      <c r="CG90" t="str">
        <f t="shared" si="181"/>
        <v>00</v>
      </c>
      <c r="CH90" t="str">
        <f t="shared" si="181"/>
        <v>00</v>
      </c>
      <c r="CI90" t="str">
        <f t="shared" si="182"/>
        <v>01</v>
      </c>
      <c r="CJ90" t="str">
        <f t="shared" si="183"/>
        <v>04</v>
      </c>
      <c r="CK90" t="str">
        <f t="shared" si="184"/>
        <v>05</v>
      </c>
      <c r="CL90" t="str">
        <f t="shared" si="185"/>
        <v>02</v>
      </c>
      <c r="CM90" t="str">
        <f t="shared" si="186"/>
        <v>00</v>
      </c>
      <c r="CN90" t="str">
        <f t="shared" si="187"/>
        <v>00</v>
      </c>
      <c r="CO90" t="str">
        <f t="shared" si="188"/>
        <v>00</v>
      </c>
      <c r="CP90" t="str">
        <f t="shared" si="189"/>
        <v>00</v>
      </c>
      <c r="CQ90" t="str">
        <f t="shared" si="190"/>
        <v>00</v>
      </c>
      <c r="CR90" t="str">
        <f t="shared" si="191"/>
        <v>00</v>
      </c>
      <c r="CS90" t="str">
        <f t="shared" si="192"/>
        <v>00</v>
      </c>
      <c r="CT90" t="str">
        <f t="shared" si="193"/>
        <v>00</v>
      </c>
      <c r="CU90" t="str">
        <f t="shared" si="194"/>
        <v>00</v>
      </c>
      <c r="CV90" t="str">
        <f t="shared" si="195"/>
        <v>00</v>
      </c>
      <c r="CW90" t="str">
        <f t="shared" si="196"/>
        <v>00</v>
      </c>
      <c r="CX90" t="str">
        <f t="shared" si="197"/>
        <v>00</v>
      </c>
      <c r="CY90" t="str">
        <f t="shared" si="198"/>
        <v>00</v>
      </c>
      <c r="CZ90" t="str">
        <f t="shared" si="199"/>
        <v>00</v>
      </c>
      <c r="DA90" t="str">
        <f t="shared" si="200"/>
        <v>00</v>
      </c>
      <c r="DB90" t="str">
        <f t="shared" si="201"/>
        <v>04</v>
      </c>
      <c r="DC90" t="str">
        <f t="shared" si="202"/>
        <v>0104050200000000000000000000000000000004</v>
      </c>
      <c r="DD90" t="str">
        <f t="shared" si="203"/>
        <v>Request kelima B</v>
      </c>
      <c r="DE90" t="s">
        <v>197</v>
      </c>
      <c r="DF90" t="s">
        <v>223</v>
      </c>
      <c r="DG90" t="s">
        <v>224</v>
      </c>
      <c r="DH90" t="s">
        <v>225</v>
      </c>
      <c r="DI90" t="s">
        <v>226</v>
      </c>
      <c r="DJ90" t="s">
        <v>227</v>
      </c>
      <c r="DK90" t="s">
        <v>228</v>
      </c>
      <c r="DL90" t="str">
        <f t="shared" si="204"/>
        <v>078,00,00,00,01,04,05,02,00,00,00,00,00,00,00,00,00,00,00,00,00,00,00,04,0104050200000000000000000000000000000004,Request kelima B,file78,Blk1,Blk2,Blk3,Blk4,Blk5,Blk6</v>
      </c>
    </row>
    <row r="91" spans="2:116" x14ac:dyDescent="0.25">
      <c r="B91">
        <f t="shared" si="205"/>
        <v>79</v>
      </c>
      <c r="F91" t="s">
        <v>92</v>
      </c>
      <c r="W91">
        <f t="shared" si="206"/>
        <v>0</v>
      </c>
      <c r="X91">
        <f t="shared" si="207"/>
        <v>0</v>
      </c>
      <c r="Y91">
        <f t="shared" si="208"/>
        <v>0</v>
      </c>
      <c r="Z91">
        <f t="shared" si="209"/>
        <v>1</v>
      </c>
      <c r="AA91">
        <f t="shared" si="210"/>
        <v>0</v>
      </c>
      <c r="AB91">
        <f t="shared" si="211"/>
        <v>0</v>
      </c>
      <c r="AC91">
        <f t="shared" si="212"/>
        <v>0</v>
      </c>
      <c r="AD91">
        <f t="shared" si="213"/>
        <v>0</v>
      </c>
      <c r="AE91">
        <f t="shared" si="214"/>
        <v>0</v>
      </c>
      <c r="AF91">
        <f t="shared" si="215"/>
        <v>0</v>
      </c>
      <c r="AG91">
        <f t="shared" si="216"/>
        <v>0</v>
      </c>
      <c r="AH91">
        <f t="shared" si="217"/>
        <v>0</v>
      </c>
      <c r="AI91">
        <f t="shared" si="218"/>
        <v>0</v>
      </c>
      <c r="AJ91">
        <f t="shared" si="219"/>
        <v>0</v>
      </c>
      <c r="AK91">
        <f t="shared" si="220"/>
        <v>0</v>
      </c>
      <c r="AL91">
        <f t="shared" si="221"/>
        <v>0</v>
      </c>
      <c r="AM91">
        <f t="shared" si="222"/>
        <v>0</v>
      </c>
      <c r="AN91">
        <f t="shared" si="223"/>
        <v>0</v>
      </c>
      <c r="AO91">
        <f t="shared" si="224"/>
        <v>0</v>
      </c>
      <c r="AP91" s="2" t="str">
        <f t="shared" si="160"/>
        <v/>
      </c>
      <c r="AQ91" t="str">
        <f t="shared" si="225"/>
        <v>S</v>
      </c>
      <c r="AR91" t="str">
        <f t="shared" si="226"/>
        <v>S</v>
      </c>
      <c r="AS91" t="str">
        <f t="shared" si="227"/>
        <v>S</v>
      </c>
      <c r="AT91" t="str">
        <f t="shared" si="228"/>
        <v>+</v>
      </c>
      <c r="AU91" t="str">
        <f t="shared" si="229"/>
        <v/>
      </c>
      <c r="AV91" t="str">
        <f t="shared" si="230"/>
        <v/>
      </c>
      <c r="AW91" t="str">
        <f t="shared" si="231"/>
        <v/>
      </c>
      <c r="AX91" t="str">
        <f t="shared" si="232"/>
        <v/>
      </c>
      <c r="AY91" t="str">
        <f t="shared" si="233"/>
        <v/>
      </c>
      <c r="AZ91" t="str">
        <f t="shared" si="234"/>
        <v/>
      </c>
      <c r="BA91" t="str">
        <f t="shared" si="235"/>
        <v/>
      </c>
      <c r="BB91" t="str">
        <f t="shared" si="236"/>
        <v/>
      </c>
      <c r="BC91" t="str">
        <f t="shared" si="237"/>
        <v/>
      </c>
      <c r="BD91" t="str">
        <f t="shared" si="238"/>
        <v/>
      </c>
      <c r="BE91" t="str">
        <f t="shared" si="239"/>
        <v/>
      </c>
      <c r="BF91" t="str">
        <f t="shared" si="240"/>
        <v/>
      </c>
      <c r="BG91" t="str">
        <f t="shared" si="241"/>
        <v/>
      </c>
      <c r="BH91" t="str">
        <f t="shared" si="242"/>
        <v/>
      </c>
      <c r="BI91" t="str">
        <f t="shared" si="243"/>
        <v/>
      </c>
      <c r="BK91">
        <f t="shared" si="161"/>
        <v>1</v>
      </c>
      <c r="BL91">
        <f t="shared" si="162"/>
        <v>4</v>
      </c>
      <c r="BM91">
        <f t="shared" si="163"/>
        <v>5</v>
      </c>
      <c r="BN91">
        <f t="shared" si="164"/>
        <v>3</v>
      </c>
      <c r="BO91">
        <f t="shared" si="165"/>
        <v>0</v>
      </c>
      <c r="BP91">
        <f t="shared" si="166"/>
        <v>0</v>
      </c>
      <c r="BQ91">
        <f t="shared" si="167"/>
        <v>0</v>
      </c>
      <c r="BR91">
        <f t="shared" si="168"/>
        <v>0</v>
      </c>
      <c r="BS91">
        <f t="shared" si="169"/>
        <v>0</v>
      </c>
      <c r="BT91">
        <f t="shared" si="170"/>
        <v>0</v>
      </c>
      <c r="BU91">
        <f t="shared" si="171"/>
        <v>0</v>
      </c>
      <c r="BV91">
        <f t="shared" si="172"/>
        <v>0</v>
      </c>
      <c r="BW91">
        <f t="shared" si="173"/>
        <v>0</v>
      </c>
      <c r="BX91">
        <f t="shared" si="174"/>
        <v>0</v>
      </c>
      <c r="BY91">
        <f t="shared" si="175"/>
        <v>0</v>
      </c>
      <c r="BZ91">
        <f t="shared" si="176"/>
        <v>0</v>
      </c>
      <c r="CA91">
        <f t="shared" si="177"/>
        <v>0</v>
      </c>
      <c r="CB91">
        <f t="shared" si="178"/>
        <v>0</v>
      </c>
      <c r="CC91">
        <f t="shared" si="179"/>
        <v>0</v>
      </c>
      <c r="CE91" t="str">
        <f t="shared" si="180"/>
        <v>079</v>
      </c>
      <c r="CF91" t="str">
        <f t="shared" si="181"/>
        <v>00</v>
      </c>
      <c r="CG91" t="str">
        <f t="shared" si="181"/>
        <v>00</v>
      </c>
      <c r="CH91" t="str">
        <f t="shared" si="181"/>
        <v>00</v>
      </c>
      <c r="CI91" t="str">
        <f t="shared" si="182"/>
        <v>01</v>
      </c>
      <c r="CJ91" t="str">
        <f t="shared" si="183"/>
        <v>04</v>
      </c>
      <c r="CK91" t="str">
        <f t="shared" si="184"/>
        <v>05</v>
      </c>
      <c r="CL91" t="str">
        <f t="shared" si="185"/>
        <v>03</v>
      </c>
      <c r="CM91" t="str">
        <f t="shared" si="186"/>
        <v>00</v>
      </c>
      <c r="CN91" t="str">
        <f t="shared" si="187"/>
        <v>00</v>
      </c>
      <c r="CO91" t="str">
        <f t="shared" si="188"/>
        <v>00</v>
      </c>
      <c r="CP91" t="str">
        <f t="shared" si="189"/>
        <v>00</v>
      </c>
      <c r="CQ91" t="str">
        <f t="shared" si="190"/>
        <v>00</v>
      </c>
      <c r="CR91" t="str">
        <f t="shared" si="191"/>
        <v>00</v>
      </c>
      <c r="CS91" t="str">
        <f t="shared" si="192"/>
        <v>00</v>
      </c>
      <c r="CT91" t="str">
        <f t="shared" si="193"/>
        <v>00</v>
      </c>
      <c r="CU91" t="str">
        <f t="shared" si="194"/>
        <v>00</v>
      </c>
      <c r="CV91" t="str">
        <f t="shared" si="195"/>
        <v>00</v>
      </c>
      <c r="CW91" t="str">
        <f t="shared" si="196"/>
        <v>00</v>
      </c>
      <c r="CX91" t="str">
        <f t="shared" si="197"/>
        <v>00</v>
      </c>
      <c r="CY91" t="str">
        <f t="shared" si="198"/>
        <v>00</v>
      </c>
      <c r="CZ91" t="str">
        <f t="shared" si="199"/>
        <v>00</v>
      </c>
      <c r="DA91" t="str">
        <f t="shared" si="200"/>
        <v>00</v>
      </c>
      <c r="DB91" t="str">
        <f t="shared" si="201"/>
        <v>04</v>
      </c>
      <c r="DC91" t="str">
        <f t="shared" si="202"/>
        <v>0104050300000000000000000000000000000004</v>
      </c>
      <c r="DD91" t="str">
        <f t="shared" si="203"/>
        <v>Request kelima C</v>
      </c>
      <c r="DE91" t="s">
        <v>198</v>
      </c>
      <c r="DF91" t="s">
        <v>223</v>
      </c>
      <c r="DG91" t="s">
        <v>224</v>
      </c>
      <c r="DH91" t="s">
        <v>225</v>
      </c>
      <c r="DI91" t="s">
        <v>226</v>
      </c>
      <c r="DJ91" t="s">
        <v>227</v>
      </c>
      <c r="DK91" t="s">
        <v>228</v>
      </c>
      <c r="DL91" t="str">
        <f t="shared" si="204"/>
        <v>079,00,00,00,01,04,05,03,00,00,00,00,00,00,00,00,00,00,00,00,00,00,00,04,0104050300000000000000000000000000000004,Request kelima C,file79,Blk1,Blk2,Blk3,Blk4,Blk5,Blk6</v>
      </c>
    </row>
    <row r="92" spans="2:116" x14ac:dyDescent="0.25">
      <c r="B92">
        <f t="shared" si="205"/>
        <v>80</v>
      </c>
      <c r="E92" t="s">
        <v>93</v>
      </c>
      <c r="W92">
        <f t="shared" si="206"/>
        <v>0</v>
      </c>
      <c r="X92">
        <f t="shared" si="207"/>
        <v>0</v>
      </c>
      <c r="Y92">
        <f t="shared" si="208"/>
        <v>1</v>
      </c>
      <c r="Z92">
        <f t="shared" si="209"/>
        <v>0</v>
      </c>
      <c r="AA92">
        <f t="shared" si="210"/>
        <v>0</v>
      </c>
      <c r="AB92">
        <f t="shared" si="211"/>
        <v>0</v>
      </c>
      <c r="AC92">
        <f t="shared" si="212"/>
        <v>0</v>
      </c>
      <c r="AD92">
        <f t="shared" si="213"/>
        <v>0</v>
      </c>
      <c r="AE92">
        <f t="shared" si="214"/>
        <v>0</v>
      </c>
      <c r="AF92">
        <f t="shared" si="215"/>
        <v>0</v>
      </c>
      <c r="AG92">
        <f t="shared" si="216"/>
        <v>0</v>
      </c>
      <c r="AH92">
        <f t="shared" si="217"/>
        <v>0</v>
      </c>
      <c r="AI92">
        <f t="shared" si="218"/>
        <v>0</v>
      </c>
      <c r="AJ92">
        <f t="shared" si="219"/>
        <v>0</v>
      </c>
      <c r="AK92">
        <f t="shared" si="220"/>
        <v>0</v>
      </c>
      <c r="AL92">
        <f t="shared" si="221"/>
        <v>0</v>
      </c>
      <c r="AM92">
        <f t="shared" si="222"/>
        <v>0</v>
      </c>
      <c r="AN92">
        <f t="shared" si="223"/>
        <v>0</v>
      </c>
      <c r="AO92">
        <f t="shared" si="224"/>
        <v>0</v>
      </c>
      <c r="AP92" s="2" t="str">
        <f t="shared" si="160"/>
        <v/>
      </c>
      <c r="AQ92" t="str">
        <f t="shared" si="225"/>
        <v>S</v>
      </c>
      <c r="AR92" t="str">
        <f t="shared" si="226"/>
        <v>S</v>
      </c>
      <c r="AS92" t="str">
        <f t="shared" si="227"/>
        <v>+</v>
      </c>
      <c r="AT92" t="str">
        <f t="shared" si="228"/>
        <v/>
      </c>
      <c r="AU92" t="str">
        <f t="shared" si="229"/>
        <v/>
      </c>
      <c r="AV92" t="str">
        <f t="shared" si="230"/>
        <v/>
      </c>
      <c r="AW92" t="str">
        <f t="shared" si="231"/>
        <v/>
      </c>
      <c r="AX92" t="str">
        <f t="shared" si="232"/>
        <v/>
      </c>
      <c r="AY92" t="str">
        <f t="shared" si="233"/>
        <v/>
      </c>
      <c r="AZ92" t="str">
        <f t="shared" si="234"/>
        <v/>
      </c>
      <c r="BA92" t="str">
        <f t="shared" si="235"/>
        <v/>
      </c>
      <c r="BB92" t="str">
        <f t="shared" si="236"/>
        <v/>
      </c>
      <c r="BC92" t="str">
        <f t="shared" si="237"/>
        <v/>
      </c>
      <c r="BD92" t="str">
        <f t="shared" si="238"/>
        <v/>
      </c>
      <c r="BE92" t="str">
        <f t="shared" si="239"/>
        <v/>
      </c>
      <c r="BF92" t="str">
        <f t="shared" si="240"/>
        <v/>
      </c>
      <c r="BG92" t="str">
        <f t="shared" si="241"/>
        <v/>
      </c>
      <c r="BH92" t="str">
        <f t="shared" si="242"/>
        <v/>
      </c>
      <c r="BI92" t="str">
        <f t="shared" si="243"/>
        <v/>
      </c>
      <c r="BK92">
        <f t="shared" si="161"/>
        <v>1</v>
      </c>
      <c r="BL92">
        <f t="shared" si="162"/>
        <v>4</v>
      </c>
      <c r="BM92">
        <f t="shared" si="163"/>
        <v>6</v>
      </c>
      <c r="BN92">
        <f t="shared" si="164"/>
        <v>0</v>
      </c>
      <c r="BO92">
        <f t="shared" si="165"/>
        <v>0</v>
      </c>
      <c r="BP92">
        <f t="shared" si="166"/>
        <v>0</v>
      </c>
      <c r="BQ92">
        <f t="shared" si="167"/>
        <v>0</v>
      </c>
      <c r="BR92">
        <f t="shared" si="168"/>
        <v>0</v>
      </c>
      <c r="BS92">
        <f t="shared" si="169"/>
        <v>0</v>
      </c>
      <c r="BT92">
        <f t="shared" si="170"/>
        <v>0</v>
      </c>
      <c r="BU92">
        <f t="shared" si="171"/>
        <v>0</v>
      </c>
      <c r="BV92">
        <f t="shared" si="172"/>
        <v>0</v>
      </c>
      <c r="BW92">
        <f t="shared" si="173"/>
        <v>0</v>
      </c>
      <c r="BX92">
        <f t="shared" si="174"/>
        <v>0</v>
      </c>
      <c r="BY92">
        <f t="shared" si="175"/>
        <v>0</v>
      </c>
      <c r="BZ92">
        <f t="shared" si="176"/>
        <v>0</v>
      </c>
      <c r="CA92">
        <f t="shared" si="177"/>
        <v>0</v>
      </c>
      <c r="CB92">
        <f t="shared" si="178"/>
        <v>0</v>
      </c>
      <c r="CC92">
        <f t="shared" si="179"/>
        <v>0</v>
      </c>
      <c r="CE92" t="str">
        <f t="shared" si="180"/>
        <v>080</v>
      </c>
      <c r="CF92" t="str">
        <f t="shared" si="181"/>
        <v>00</v>
      </c>
      <c r="CG92" t="str">
        <f t="shared" si="181"/>
        <v>00</v>
      </c>
      <c r="CH92" t="str">
        <f t="shared" si="181"/>
        <v>00</v>
      </c>
      <c r="CI92" t="str">
        <f t="shared" si="182"/>
        <v>01</v>
      </c>
      <c r="CJ92" t="str">
        <f t="shared" si="183"/>
        <v>04</v>
      </c>
      <c r="CK92" t="str">
        <f t="shared" si="184"/>
        <v>06</v>
      </c>
      <c r="CL92" t="str">
        <f t="shared" si="185"/>
        <v>00</v>
      </c>
      <c r="CM92" t="str">
        <f t="shared" si="186"/>
        <v>00</v>
      </c>
      <c r="CN92" t="str">
        <f t="shared" si="187"/>
        <v>00</v>
      </c>
      <c r="CO92" t="str">
        <f t="shared" si="188"/>
        <v>00</v>
      </c>
      <c r="CP92" t="str">
        <f t="shared" si="189"/>
        <v>00</v>
      </c>
      <c r="CQ92" t="str">
        <f t="shared" si="190"/>
        <v>00</v>
      </c>
      <c r="CR92" t="str">
        <f t="shared" si="191"/>
        <v>00</v>
      </c>
      <c r="CS92" t="str">
        <f t="shared" si="192"/>
        <v>00</v>
      </c>
      <c r="CT92" t="str">
        <f t="shared" si="193"/>
        <v>00</v>
      </c>
      <c r="CU92" t="str">
        <f t="shared" si="194"/>
        <v>00</v>
      </c>
      <c r="CV92" t="str">
        <f t="shared" si="195"/>
        <v>00</v>
      </c>
      <c r="CW92" t="str">
        <f t="shared" si="196"/>
        <v>00</v>
      </c>
      <c r="CX92" t="str">
        <f t="shared" si="197"/>
        <v>00</v>
      </c>
      <c r="CY92" t="str">
        <f t="shared" si="198"/>
        <v>00</v>
      </c>
      <c r="CZ92" t="str">
        <f t="shared" si="199"/>
        <v>00</v>
      </c>
      <c r="DA92" t="str">
        <f t="shared" si="200"/>
        <v>00</v>
      </c>
      <c r="DB92" t="str">
        <f t="shared" si="201"/>
        <v>03</v>
      </c>
      <c r="DC92" t="str">
        <f t="shared" si="202"/>
        <v>0104060000000000000000000000000000000003</v>
      </c>
      <c r="DD92" t="str">
        <f t="shared" si="203"/>
        <v>Request keenam</v>
      </c>
      <c r="DE92" t="s">
        <v>199</v>
      </c>
      <c r="DF92" t="s">
        <v>223</v>
      </c>
      <c r="DG92" t="s">
        <v>224</v>
      </c>
      <c r="DH92" t="s">
        <v>225</v>
      </c>
      <c r="DI92" t="s">
        <v>226</v>
      </c>
      <c r="DJ92" t="s">
        <v>227</v>
      </c>
      <c r="DK92" t="s">
        <v>228</v>
      </c>
      <c r="DL92" t="str">
        <f t="shared" si="204"/>
        <v>080,00,00,00,01,04,06,00,00,00,00,00,00,00,00,00,00,00,00,00,00,00,00,03,0104060000000000000000000000000000000003,Request keenam,file80,Blk1,Blk2,Blk3,Blk4,Blk5,Blk6</v>
      </c>
    </row>
    <row r="93" spans="2:116" x14ac:dyDescent="0.25">
      <c r="B93">
        <f t="shared" si="205"/>
        <v>81</v>
      </c>
      <c r="D93" t="s">
        <v>94</v>
      </c>
      <c r="W93">
        <f t="shared" si="206"/>
        <v>0</v>
      </c>
      <c r="X93">
        <f t="shared" si="207"/>
        <v>1</v>
      </c>
      <c r="Y93">
        <f t="shared" si="208"/>
        <v>0</v>
      </c>
      <c r="Z93">
        <f t="shared" si="209"/>
        <v>0</v>
      </c>
      <c r="AA93">
        <f t="shared" si="210"/>
        <v>0</v>
      </c>
      <c r="AB93">
        <f t="shared" si="211"/>
        <v>0</v>
      </c>
      <c r="AC93">
        <f t="shared" si="212"/>
        <v>0</v>
      </c>
      <c r="AD93">
        <f t="shared" si="213"/>
        <v>0</v>
      </c>
      <c r="AE93">
        <f t="shared" si="214"/>
        <v>0</v>
      </c>
      <c r="AF93">
        <f t="shared" si="215"/>
        <v>0</v>
      </c>
      <c r="AG93">
        <f t="shared" si="216"/>
        <v>0</v>
      </c>
      <c r="AH93">
        <f t="shared" si="217"/>
        <v>0</v>
      </c>
      <c r="AI93">
        <f t="shared" si="218"/>
        <v>0</v>
      </c>
      <c r="AJ93">
        <f t="shared" si="219"/>
        <v>0</v>
      </c>
      <c r="AK93">
        <f t="shared" si="220"/>
        <v>0</v>
      </c>
      <c r="AL93">
        <f t="shared" si="221"/>
        <v>0</v>
      </c>
      <c r="AM93">
        <f t="shared" si="222"/>
        <v>0</v>
      </c>
      <c r="AN93">
        <f t="shared" si="223"/>
        <v>0</v>
      </c>
      <c r="AO93">
        <f t="shared" si="224"/>
        <v>0</v>
      </c>
      <c r="AP93" s="2" t="str">
        <f t="shared" si="160"/>
        <v/>
      </c>
      <c r="AQ93" t="str">
        <f t="shared" si="225"/>
        <v>S</v>
      </c>
      <c r="AR93" t="str">
        <f t="shared" si="226"/>
        <v>+</v>
      </c>
      <c r="AS93" t="str">
        <f t="shared" si="227"/>
        <v/>
      </c>
      <c r="AT93" t="str">
        <f t="shared" si="228"/>
        <v/>
      </c>
      <c r="AU93" t="str">
        <f t="shared" si="229"/>
        <v/>
      </c>
      <c r="AV93" t="str">
        <f t="shared" si="230"/>
        <v/>
      </c>
      <c r="AW93" t="str">
        <f t="shared" si="231"/>
        <v/>
      </c>
      <c r="AX93" t="str">
        <f t="shared" si="232"/>
        <v/>
      </c>
      <c r="AY93" t="str">
        <f t="shared" si="233"/>
        <v/>
      </c>
      <c r="AZ93" t="str">
        <f t="shared" si="234"/>
        <v/>
      </c>
      <c r="BA93" t="str">
        <f t="shared" si="235"/>
        <v/>
      </c>
      <c r="BB93" t="str">
        <f t="shared" si="236"/>
        <v/>
      </c>
      <c r="BC93" t="str">
        <f t="shared" si="237"/>
        <v/>
      </c>
      <c r="BD93" t="str">
        <f t="shared" si="238"/>
        <v/>
      </c>
      <c r="BE93" t="str">
        <f t="shared" si="239"/>
        <v/>
      </c>
      <c r="BF93" t="str">
        <f t="shared" si="240"/>
        <v/>
      </c>
      <c r="BG93" t="str">
        <f t="shared" si="241"/>
        <v/>
      </c>
      <c r="BH93" t="str">
        <f t="shared" si="242"/>
        <v/>
      </c>
      <c r="BI93" t="str">
        <f t="shared" si="243"/>
        <v/>
      </c>
      <c r="BK93">
        <f t="shared" si="161"/>
        <v>1</v>
      </c>
      <c r="BL93">
        <f t="shared" si="162"/>
        <v>5</v>
      </c>
      <c r="BM93">
        <f t="shared" si="163"/>
        <v>0</v>
      </c>
      <c r="BN93">
        <f t="shared" si="164"/>
        <v>0</v>
      </c>
      <c r="BO93">
        <f t="shared" si="165"/>
        <v>0</v>
      </c>
      <c r="BP93">
        <f t="shared" si="166"/>
        <v>0</v>
      </c>
      <c r="BQ93">
        <f t="shared" si="167"/>
        <v>0</v>
      </c>
      <c r="BR93">
        <f t="shared" si="168"/>
        <v>0</v>
      </c>
      <c r="BS93">
        <f t="shared" si="169"/>
        <v>0</v>
      </c>
      <c r="BT93">
        <f t="shared" si="170"/>
        <v>0</v>
      </c>
      <c r="BU93">
        <f t="shared" si="171"/>
        <v>0</v>
      </c>
      <c r="BV93">
        <f t="shared" si="172"/>
        <v>0</v>
      </c>
      <c r="BW93">
        <f t="shared" si="173"/>
        <v>0</v>
      </c>
      <c r="BX93">
        <f t="shared" si="174"/>
        <v>0</v>
      </c>
      <c r="BY93">
        <f t="shared" si="175"/>
        <v>0</v>
      </c>
      <c r="BZ93">
        <f t="shared" si="176"/>
        <v>0</v>
      </c>
      <c r="CA93">
        <f t="shared" si="177"/>
        <v>0</v>
      </c>
      <c r="CB93">
        <f t="shared" si="178"/>
        <v>0</v>
      </c>
      <c r="CC93">
        <f t="shared" si="179"/>
        <v>0</v>
      </c>
      <c r="CE93" t="str">
        <f t="shared" si="180"/>
        <v>081</v>
      </c>
      <c r="CF93" t="str">
        <f t="shared" si="181"/>
        <v>00</v>
      </c>
      <c r="CG93" t="str">
        <f t="shared" si="181"/>
        <v>00</v>
      </c>
      <c r="CH93" t="str">
        <f t="shared" si="181"/>
        <v>00</v>
      </c>
      <c r="CI93" t="str">
        <f t="shared" si="182"/>
        <v>01</v>
      </c>
      <c r="CJ93" t="str">
        <f t="shared" si="183"/>
        <v>05</v>
      </c>
      <c r="CK93" t="str">
        <f t="shared" si="184"/>
        <v>00</v>
      </c>
      <c r="CL93" t="str">
        <f t="shared" si="185"/>
        <v>00</v>
      </c>
      <c r="CM93" t="str">
        <f t="shared" si="186"/>
        <v>00</v>
      </c>
      <c r="CN93" t="str">
        <f t="shared" si="187"/>
        <v>00</v>
      </c>
      <c r="CO93" t="str">
        <f t="shared" si="188"/>
        <v>00</v>
      </c>
      <c r="CP93" t="str">
        <f t="shared" si="189"/>
        <v>00</v>
      </c>
      <c r="CQ93" t="str">
        <f t="shared" si="190"/>
        <v>00</v>
      </c>
      <c r="CR93" t="str">
        <f t="shared" si="191"/>
        <v>00</v>
      </c>
      <c r="CS93" t="str">
        <f t="shared" si="192"/>
        <v>00</v>
      </c>
      <c r="CT93" t="str">
        <f t="shared" si="193"/>
        <v>00</v>
      </c>
      <c r="CU93" t="str">
        <f t="shared" si="194"/>
        <v>00</v>
      </c>
      <c r="CV93" t="str">
        <f t="shared" si="195"/>
        <v>00</v>
      </c>
      <c r="CW93" t="str">
        <f t="shared" si="196"/>
        <v>00</v>
      </c>
      <c r="CX93" t="str">
        <f t="shared" si="197"/>
        <v>00</v>
      </c>
      <c r="CY93" t="str">
        <f t="shared" si="198"/>
        <v>00</v>
      </c>
      <c r="CZ93" t="str">
        <f t="shared" si="199"/>
        <v>00</v>
      </c>
      <c r="DA93" t="str">
        <f t="shared" si="200"/>
        <v>00</v>
      </c>
      <c r="DB93" t="str">
        <f t="shared" si="201"/>
        <v>02</v>
      </c>
      <c r="DC93" t="str">
        <f t="shared" si="202"/>
        <v>0105000000000000000000000000000000000002</v>
      </c>
      <c r="DD93" t="str">
        <f t="shared" si="203"/>
        <v>Registration</v>
      </c>
      <c r="DE93" t="s">
        <v>200</v>
      </c>
      <c r="DF93" t="s">
        <v>223</v>
      </c>
      <c r="DG93" t="s">
        <v>224</v>
      </c>
      <c r="DH93" t="s">
        <v>225</v>
      </c>
      <c r="DI93" t="s">
        <v>226</v>
      </c>
      <c r="DJ93" t="s">
        <v>227</v>
      </c>
      <c r="DK93" t="s">
        <v>228</v>
      </c>
      <c r="DL93" t="str">
        <f t="shared" si="204"/>
        <v>081,00,00,00,01,05,00,00,00,00,00,00,00,00,00,00,00,00,00,00,00,00,00,02,0105000000000000000000000000000000000002,Registration,file81,Blk1,Blk2,Blk3,Blk4,Blk5,Blk6</v>
      </c>
    </row>
    <row r="94" spans="2:116" x14ac:dyDescent="0.25">
      <c r="B94">
        <f t="shared" si="205"/>
        <v>82</v>
      </c>
      <c r="E94" t="s">
        <v>95</v>
      </c>
      <c r="W94">
        <f t="shared" si="206"/>
        <v>0</v>
      </c>
      <c r="X94">
        <f t="shared" si="207"/>
        <v>0</v>
      </c>
      <c r="Y94">
        <f t="shared" si="208"/>
        <v>1</v>
      </c>
      <c r="Z94">
        <f t="shared" si="209"/>
        <v>0</v>
      </c>
      <c r="AA94">
        <f t="shared" si="210"/>
        <v>0</v>
      </c>
      <c r="AB94">
        <f t="shared" si="211"/>
        <v>0</v>
      </c>
      <c r="AC94">
        <f t="shared" si="212"/>
        <v>0</v>
      </c>
      <c r="AD94">
        <f t="shared" si="213"/>
        <v>0</v>
      </c>
      <c r="AE94">
        <f t="shared" si="214"/>
        <v>0</v>
      </c>
      <c r="AF94">
        <f t="shared" si="215"/>
        <v>0</v>
      </c>
      <c r="AG94">
        <f t="shared" si="216"/>
        <v>0</v>
      </c>
      <c r="AH94">
        <f t="shared" si="217"/>
        <v>0</v>
      </c>
      <c r="AI94">
        <f t="shared" si="218"/>
        <v>0</v>
      </c>
      <c r="AJ94">
        <f t="shared" si="219"/>
        <v>0</v>
      </c>
      <c r="AK94">
        <f t="shared" si="220"/>
        <v>0</v>
      </c>
      <c r="AL94">
        <f t="shared" si="221"/>
        <v>0</v>
      </c>
      <c r="AM94">
        <f t="shared" si="222"/>
        <v>0</v>
      </c>
      <c r="AN94">
        <f t="shared" si="223"/>
        <v>0</v>
      </c>
      <c r="AO94">
        <f t="shared" si="224"/>
        <v>0</v>
      </c>
      <c r="AP94" s="2" t="str">
        <f t="shared" si="160"/>
        <v/>
      </c>
      <c r="AQ94" t="str">
        <f t="shared" si="225"/>
        <v>S</v>
      </c>
      <c r="AR94" t="str">
        <f t="shared" si="226"/>
        <v>S</v>
      </c>
      <c r="AS94">
        <f t="shared" si="227"/>
        <v>1</v>
      </c>
      <c r="AT94" t="str">
        <f t="shared" si="228"/>
        <v/>
      </c>
      <c r="AU94" t="str">
        <f t="shared" si="229"/>
        <v/>
      </c>
      <c r="AV94" t="str">
        <f t="shared" si="230"/>
        <v/>
      </c>
      <c r="AW94" t="str">
        <f t="shared" si="231"/>
        <v/>
      </c>
      <c r="AX94" t="str">
        <f t="shared" si="232"/>
        <v/>
      </c>
      <c r="AY94" t="str">
        <f t="shared" si="233"/>
        <v/>
      </c>
      <c r="AZ94" t="str">
        <f t="shared" si="234"/>
        <v/>
      </c>
      <c r="BA94" t="str">
        <f t="shared" si="235"/>
        <v/>
      </c>
      <c r="BB94" t="str">
        <f t="shared" si="236"/>
        <v/>
      </c>
      <c r="BC94" t="str">
        <f t="shared" si="237"/>
        <v/>
      </c>
      <c r="BD94" t="str">
        <f t="shared" si="238"/>
        <v/>
      </c>
      <c r="BE94" t="str">
        <f t="shared" si="239"/>
        <v/>
      </c>
      <c r="BF94" t="str">
        <f t="shared" si="240"/>
        <v/>
      </c>
      <c r="BG94" t="str">
        <f t="shared" si="241"/>
        <v/>
      </c>
      <c r="BH94" t="str">
        <f t="shared" si="242"/>
        <v/>
      </c>
      <c r="BI94" t="str">
        <f t="shared" si="243"/>
        <v/>
      </c>
      <c r="BK94">
        <f t="shared" si="161"/>
        <v>1</v>
      </c>
      <c r="BL94">
        <f t="shared" si="162"/>
        <v>5</v>
      </c>
      <c r="BM94">
        <f t="shared" si="163"/>
        <v>1</v>
      </c>
      <c r="BN94">
        <f t="shared" si="164"/>
        <v>0</v>
      </c>
      <c r="BO94">
        <f t="shared" si="165"/>
        <v>0</v>
      </c>
      <c r="BP94">
        <f t="shared" si="166"/>
        <v>0</v>
      </c>
      <c r="BQ94">
        <f t="shared" si="167"/>
        <v>0</v>
      </c>
      <c r="BR94">
        <f t="shared" si="168"/>
        <v>0</v>
      </c>
      <c r="BS94">
        <f t="shared" si="169"/>
        <v>0</v>
      </c>
      <c r="BT94">
        <f t="shared" si="170"/>
        <v>0</v>
      </c>
      <c r="BU94">
        <f t="shared" si="171"/>
        <v>0</v>
      </c>
      <c r="BV94">
        <f t="shared" si="172"/>
        <v>0</v>
      </c>
      <c r="BW94">
        <f t="shared" si="173"/>
        <v>0</v>
      </c>
      <c r="BX94">
        <f t="shared" si="174"/>
        <v>0</v>
      </c>
      <c r="BY94">
        <f t="shared" si="175"/>
        <v>0</v>
      </c>
      <c r="BZ94">
        <f t="shared" si="176"/>
        <v>0</v>
      </c>
      <c r="CA94">
        <f t="shared" si="177"/>
        <v>0</v>
      </c>
      <c r="CB94">
        <f t="shared" si="178"/>
        <v>0</v>
      </c>
      <c r="CC94">
        <f t="shared" si="179"/>
        <v>0</v>
      </c>
      <c r="CE94" t="str">
        <f t="shared" si="180"/>
        <v>082</v>
      </c>
      <c r="CF94" t="str">
        <f t="shared" si="181"/>
        <v>00</v>
      </c>
      <c r="CG94" t="str">
        <f t="shared" si="181"/>
        <v>00</v>
      </c>
      <c r="CH94" t="str">
        <f t="shared" si="181"/>
        <v>00</v>
      </c>
      <c r="CI94" t="str">
        <f t="shared" si="182"/>
        <v>01</v>
      </c>
      <c r="CJ94" t="str">
        <f t="shared" si="183"/>
        <v>05</v>
      </c>
      <c r="CK94" t="str">
        <f t="shared" si="184"/>
        <v>01</v>
      </c>
      <c r="CL94" t="str">
        <f t="shared" si="185"/>
        <v>00</v>
      </c>
      <c r="CM94" t="str">
        <f t="shared" si="186"/>
        <v>00</v>
      </c>
      <c r="CN94" t="str">
        <f t="shared" si="187"/>
        <v>00</v>
      </c>
      <c r="CO94" t="str">
        <f t="shared" si="188"/>
        <v>00</v>
      </c>
      <c r="CP94" t="str">
        <f t="shared" si="189"/>
        <v>00</v>
      </c>
      <c r="CQ94" t="str">
        <f t="shared" si="190"/>
        <v>00</v>
      </c>
      <c r="CR94" t="str">
        <f t="shared" si="191"/>
        <v>00</v>
      </c>
      <c r="CS94" t="str">
        <f t="shared" si="192"/>
        <v>00</v>
      </c>
      <c r="CT94" t="str">
        <f t="shared" si="193"/>
        <v>00</v>
      </c>
      <c r="CU94" t="str">
        <f t="shared" si="194"/>
        <v>00</v>
      </c>
      <c r="CV94" t="str">
        <f t="shared" si="195"/>
        <v>00</v>
      </c>
      <c r="CW94" t="str">
        <f t="shared" si="196"/>
        <v>00</v>
      </c>
      <c r="CX94" t="str">
        <f t="shared" si="197"/>
        <v>00</v>
      </c>
      <c r="CY94" t="str">
        <f t="shared" si="198"/>
        <v>00</v>
      </c>
      <c r="CZ94" t="str">
        <f t="shared" si="199"/>
        <v>00</v>
      </c>
      <c r="DA94" t="str">
        <f t="shared" si="200"/>
        <v>00</v>
      </c>
      <c r="DB94" t="str">
        <f t="shared" si="201"/>
        <v>03</v>
      </c>
      <c r="DC94" t="str">
        <f t="shared" si="202"/>
        <v>0105010000000000000000000000000000000003</v>
      </c>
      <c r="DD94" t="str">
        <f t="shared" si="203"/>
        <v>Register Ahli</v>
      </c>
      <c r="DE94" t="s">
        <v>229</v>
      </c>
      <c r="DF94" t="s">
        <v>230</v>
      </c>
      <c r="DG94" t="s">
        <v>224</v>
      </c>
      <c r="DH94" t="s">
        <v>225</v>
      </c>
      <c r="DI94" t="s">
        <v>226</v>
      </c>
      <c r="DJ94" t="s">
        <v>227</v>
      </c>
      <c r="DK94" t="s">
        <v>228</v>
      </c>
      <c r="DL94" t="str">
        <f t="shared" si="204"/>
        <v>082,00,00,00,01,05,01,00,00,00,00,00,00,00,00,00,00,00,00,00,00,00,00,03,0105010000000000000000000000000000000003,Register Ahli,subpages/formv1/formv1.php,subpages/formv1/formNo1.dat,Blk2,Blk3,Blk4,Blk5,Blk6</v>
      </c>
    </row>
    <row r="95" spans="2:116" x14ac:dyDescent="0.25">
      <c r="B95">
        <f t="shared" si="205"/>
        <v>83</v>
      </c>
      <c r="F95" t="s">
        <v>96</v>
      </c>
      <c r="W95">
        <f t="shared" si="206"/>
        <v>0</v>
      </c>
      <c r="X95">
        <f t="shared" si="207"/>
        <v>0</v>
      </c>
      <c r="Y95">
        <f t="shared" si="208"/>
        <v>0</v>
      </c>
      <c r="Z95">
        <f t="shared" si="209"/>
        <v>1</v>
      </c>
      <c r="AA95">
        <f t="shared" si="210"/>
        <v>0</v>
      </c>
      <c r="AB95">
        <f t="shared" si="211"/>
        <v>0</v>
      </c>
      <c r="AC95">
        <f t="shared" si="212"/>
        <v>0</v>
      </c>
      <c r="AD95">
        <f t="shared" si="213"/>
        <v>0</v>
      </c>
      <c r="AE95">
        <f t="shared" si="214"/>
        <v>0</v>
      </c>
      <c r="AF95">
        <f t="shared" si="215"/>
        <v>0</v>
      </c>
      <c r="AG95">
        <f t="shared" si="216"/>
        <v>0</v>
      </c>
      <c r="AH95">
        <f t="shared" si="217"/>
        <v>0</v>
      </c>
      <c r="AI95">
        <f t="shared" si="218"/>
        <v>0</v>
      </c>
      <c r="AJ95">
        <f t="shared" si="219"/>
        <v>0</v>
      </c>
      <c r="AK95">
        <f t="shared" si="220"/>
        <v>0</v>
      </c>
      <c r="AL95">
        <f t="shared" si="221"/>
        <v>0</v>
      </c>
      <c r="AM95">
        <f t="shared" si="222"/>
        <v>0</v>
      </c>
      <c r="AN95">
        <f t="shared" si="223"/>
        <v>0</v>
      </c>
      <c r="AO95">
        <f t="shared" si="224"/>
        <v>0</v>
      </c>
      <c r="AP95" s="2" t="str">
        <f t="shared" si="160"/>
        <v/>
      </c>
      <c r="AQ95" t="str">
        <f t="shared" si="225"/>
        <v>S</v>
      </c>
      <c r="AR95" t="str">
        <f t="shared" si="226"/>
        <v>S</v>
      </c>
      <c r="AS95" t="str">
        <f t="shared" si="227"/>
        <v>S</v>
      </c>
      <c r="AT95">
        <f t="shared" si="228"/>
        <v>1</v>
      </c>
      <c r="AU95" t="str">
        <f t="shared" si="229"/>
        <v/>
      </c>
      <c r="AV95" t="str">
        <f t="shared" si="230"/>
        <v/>
      </c>
      <c r="AW95" t="str">
        <f t="shared" si="231"/>
        <v/>
      </c>
      <c r="AX95" t="str">
        <f t="shared" si="232"/>
        <v/>
      </c>
      <c r="AY95" t="str">
        <f t="shared" si="233"/>
        <v/>
      </c>
      <c r="AZ95" t="str">
        <f t="shared" si="234"/>
        <v/>
      </c>
      <c r="BA95" t="str">
        <f t="shared" si="235"/>
        <v/>
      </c>
      <c r="BB95" t="str">
        <f t="shared" si="236"/>
        <v/>
      </c>
      <c r="BC95" t="str">
        <f t="shared" si="237"/>
        <v/>
      </c>
      <c r="BD95" t="str">
        <f t="shared" si="238"/>
        <v/>
      </c>
      <c r="BE95" t="str">
        <f t="shared" si="239"/>
        <v/>
      </c>
      <c r="BF95" t="str">
        <f t="shared" si="240"/>
        <v/>
      </c>
      <c r="BG95" t="str">
        <f t="shared" si="241"/>
        <v/>
      </c>
      <c r="BH95" t="str">
        <f t="shared" si="242"/>
        <v/>
      </c>
      <c r="BI95" t="str">
        <f t="shared" si="243"/>
        <v/>
      </c>
      <c r="BK95">
        <f t="shared" si="161"/>
        <v>1</v>
      </c>
      <c r="BL95">
        <f t="shared" si="162"/>
        <v>5</v>
      </c>
      <c r="BM95">
        <f t="shared" si="163"/>
        <v>1</v>
      </c>
      <c r="BN95">
        <f t="shared" si="164"/>
        <v>1</v>
      </c>
      <c r="BO95">
        <f t="shared" si="165"/>
        <v>0</v>
      </c>
      <c r="BP95">
        <f t="shared" si="166"/>
        <v>0</v>
      </c>
      <c r="BQ95">
        <f t="shared" si="167"/>
        <v>0</v>
      </c>
      <c r="BR95">
        <f t="shared" si="168"/>
        <v>0</v>
      </c>
      <c r="BS95">
        <f t="shared" si="169"/>
        <v>0</v>
      </c>
      <c r="BT95">
        <f t="shared" si="170"/>
        <v>0</v>
      </c>
      <c r="BU95">
        <f t="shared" si="171"/>
        <v>0</v>
      </c>
      <c r="BV95">
        <f t="shared" si="172"/>
        <v>0</v>
      </c>
      <c r="BW95">
        <f t="shared" si="173"/>
        <v>0</v>
      </c>
      <c r="BX95">
        <f t="shared" si="174"/>
        <v>0</v>
      </c>
      <c r="BY95">
        <f t="shared" si="175"/>
        <v>0</v>
      </c>
      <c r="BZ95">
        <f t="shared" si="176"/>
        <v>0</v>
      </c>
      <c r="CA95">
        <f t="shared" si="177"/>
        <v>0</v>
      </c>
      <c r="CB95">
        <f t="shared" si="178"/>
        <v>0</v>
      </c>
      <c r="CC95">
        <f t="shared" si="179"/>
        <v>0</v>
      </c>
      <c r="CE95" t="str">
        <f t="shared" si="180"/>
        <v>083</v>
      </c>
      <c r="CF95" t="str">
        <f t="shared" si="181"/>
        <v>00</v>
      </c>
      <c r="CG95" t="str">
        <f t="shared" si="181"/>
        <v>00</v>
      </c>
      <c r="CH95" t="str">
        <f t="shared" si="181"/>
        <v>00</v>
      </c>
      <c r="CI95" t="str">
        <f t="shared" si="182"/>
        <v>01</v>
      </c>
      <c r="CJ95" t="str">
        <f t="shared" si="183"/>
        <v>05</v>
      </c>
      <c r="CK95" t="str">
        <f t="shared" si="184"/>
        <v>01</v>
      </c>
      <c r="CL95" t="str">
        <f t="shared" si="185"/>
        <v>01</v>
      </c>
      <c r="CM95" t="str">
        <f t="shared" si="186"/>
        <v>00</v>
      </c>
      <c r="CN95" t="str">
        <f t="shared" si="187"/>
        <v>00</v>
      </c>
      <c r="CO95" t="str">
        <f t="shared" si="188"/>
        <v>00</v>
      </c>
      <c r="CP95" t="str">
        <f t="shared" si="189"/>
        <v>00</v>
      </c>
      <c r="CQ95" t="str">
        <f t="shared" si="190"/>
        <v>00</v>
      </c>
      <c r="CR95" t="str">
        <f t="shared" si="191"/>
        <v>00</v>
      </c>
      <c r="CS95" t="str">
        <f t="shared" si="192"/>
        <v>00</v>
      </c>
      <c r="CT95" t="str">
        <f t="shared" si="193"/>
        <v>00</v>
      </c>
      <c r="CU95" t="str">
        <f t="shared" si="194"/>
        <v>00</v>
      </c>
      <c r="CV95" t="str">
        <f t="shared" si="195"/>
        <v>00</v>
      </c>
      <c r="CW95" t="str">
        <f t="shared" si="196"/>
        <v>00</v>
      </c>
      <c r="CX95" t="str">
        <f t="shared" si="197"/>
        <v>00</v>
      </c>
      <c r="CY95" t="str">
        <f t="shared" si="198"/>
        <v>00</v>
      </c>
      <c r="CZ95" t="str">
        <f t="shared" si="199"/>
        <v>00</v>
      </c>
      <c r="DA95" t="str">
        <f t="shared" si="200"/>
        <v>00</v>
      </c>
      <c r="DB95" t="str">
        <f t="shared" si="201"/>
        <v>04</v>
      </c>
      <c r="DC95" t="str">
        <f t="shared" si="202"/>
        <v>0105010100000000000000000000000000000004</v>
      </c>
      <c r="DD95" t="str">
        <f t="shared" si="203"/>
        <v>Register Ahli biasa</v>
      </c>
      <c r="DE95" t="s">
        <v>201</v>
      </c>
      <c r="DF95" t="s">
        <v>223</v>
      </c>
      <c r="DG95" t="s">
        <v>224</v>
      </c>
      <c r="DH95" t="s">
        <v>225</v>
      </c>
      <c r="DI95" t="s">
        <v>226</v>
      </c>
      <c r="DJ95" t="s">
        <v>227</v>
      </c>
      <c r="DK95" t="s">
        <v>228</v>
      </c>
      <c r="DL95" t="str">
        <f t="shared" si="204"/>
        <v>083,00,00,00,01,05,01,01,00,00,00,00,00,00,00,00,00,00,00,00,00,00,00,04,0105010100000000000000000000000000000004,Register Ahli biasa,file83,Blk1,Blk2,Blk3,Blk4,Blk5,Blk6</v>
      </c>
    </row>
    <row r="96" spans="2:116" x14ac:dyDescent="0.25">
      <c r="B96">
        <f t="shared" si="205"/>
        <v>84</v>
      </c>
      <c r="F96" t="s">
        <v>97</v>
      </c>
      <c r="W96">
        <f t="shared" si="206"/>
        <v>0</v>
      </c>
      <c r="X96">
        <f t="shared" si="207"/>
        <v>0</v>
      </c>
      <c r="Y96">
        <f t="shared" si="208"/>
        <v>0</v>
      </c>
      <c r="Z96">
        <f t="shared" si="209"/>
        <v>1</v>
      </c>
      <c r="AA96">
        <f t="shared" si="210"/>
        <v>0</v>
      </c>
      <c r="AB96">
        <f t="shared" si="211"/>
        <v>0</v>
      </c>
      <c r="AC96">
        <f t="shared" si="212"/>
        <v>0</v>
      </c>
      <c r="AD96">
        <f t="shared" si="213"/>
        <v>0</v>
      </c>
      <c r="AE96">
        <f t="shared" si="214"/>
        <v>0</v>
      </c>
      <c r="AF96">
        <f t="shared" si="215"/>
        <v>0</v>
      </c>
      <c r="AG96">
        <f t="shared" si="216"/>
        <v>0</v>
      </c>
      <c r="AH96">
        <f t="shared" si="217"/>
        <v>0</v>
      </c>
      <c r="AI96">
        <f t="shared" si="218"/>
        <v>0</v>
      </c>
      <c r="AJ96">
        <f t="shared" si="219"/>
        <v>0</v>
      </c>
      <c r="AK96">
        <f t="shared" si="220"/>
        <v>0</v>
      </c>
      <c r="AL96">
        <f t="shared" si="221"/>
        <v>0</v>
      </c>
      <c r="AM96">
        <f t="shared" si="222"/>
        <v>0</v>
      </c>
      <c r="AN96">
        <f t="shared" si="223"/>
        <v>0</v>
      </c>
      <c r="AO96">
        <f t="shared" si="224"/>
        <v>0</v>
      </c>
      <c r="AP96" s="2" t="str">
        <f t="shared" si="160"/>
        <v/>
      </c>
      <c r="AQ96" t="str">
        <f t="shared" si="225"/>
        <v>S</v>
      </c>
      <c r="AR96" t="str">
        <f t="shared" si="226"/>
        <v>S</v>
      </c>
      <c r="AS96" t="str">
        <f t="shared" si="227"/>
        <v>S</v>
      </c>
      <c r="AT96" t="str">
        <f t="shared" si="228"/>
        <v>+</v>
      </c>
      <c r="AU96" t="str">
        <f t="shared" si="229"/>
        <v/>
      </c>
      <c r="AV96" t="str">
        <f t="shared" si="230"/>
        <v/>
      </c>
      <c r="AW96" t="str">
        <f t="shared" si="231"/>
        <v/>
      </c>
      <c r="AX96" t="str">
        <f t="shared" si="232"/>
        <v/>
      </c>
      <c r="AY96" t="str">
        <f t="shared" si="233"/>
        <v/>
      </c>
      <c r="AZ96" t="str">
        <f t="shared" si="234"/>
        <v/>
      </c>
      <c r="BA96" t="str">
        <f t="shared" si="235"/>
        <v/>
      </c>
      <c r="BB96" t="str">
        <f t="shared" si="236"/>
        <v/>
      </c>
      <c r="BC96" t="str">
        <f t="shared" si="237"/>
        <v/>
      </c>
      <c r="BD96" t="str">
        <f t="shared" si="238"/>
        <v/>
      </c>
      <c r="BE96" t="str">
        <f t="shared" si="239"/>
        <v/>
      </c>
      <c r="BF96" t="str">
        <f t="shared" si="240"/>
        <v/>
      </c>
      <c r="BG96" t="str">
        <f t="shared" si="241"/>
        <v/>
      </c>
      <c r="BH96" t="str">
        <f t="shared" si="242"/>
        <v/>
      </c>
      <c r="BI96" t="str">
        <f t="shared" si="243"/>
        <v/>
      </c>
      <c r="BK96">
        <f t="shared" si="161"/>
        <v>1</v>
      </c>
      <c r="BL96">
        <f t="shared" si="162"/>
        <v>5</v>
      </c>
      <c r="BM96">
        <f t="shared" si="163"/>
        <v>1</v>
      </c>
      <c r="BN96">
        <f t="shared" si="164"/>
        <v>2</v>
      </c>
      <c r="BO96">
        <f t="shared" si="165"/>
        <v>0</v>
      </c>
      <c r="BP96">
        <f t="shared" si="166"/>
        <v>0</v>
      </c>
      <c r="BQ96">
        <f t="shared" si="167"/>
        <v>0</v>
      </c>
      <c r="BR96">
        <f t="shared" si="168"/>
        <v>0</v>
      </c>
      <c r="BS96">
        <f t="shared" si="169"/>
        <v>0</v>
      </c>
      <c r="BT96">
        <f t="shared" si="170"/>
        <v>0</v>
      </c>
      <c r="BU96">
        <f t="shared" si="171"/>
        <v>0</v>
      </c>
      <c r="BV96">
        <f t="shared" si="172"/>
        <v>0</v>
      </c>
      <c r="BW96">
        <f t="shared" si="173"/>
        <v>0</v>
      </c>
      <c r="BX96">
        <f t="shared" si="174"/>
        <v>0</v>
      </c>
      <c r="BY96">
        <f t="shared" si="175"/>
        <v>0</v>
      </c>
      <c r="BZ96">
        <f t="shared" si="176"/>
        <v>0</v>
      </c>
      <c r="CA96">
        <f t="shared" si="177"/>
        <v>0</v>
      </c>
      <c r="CB96">
        <f t="shared" si="178"/>
        <v>0</v>
      </c>
      <c r="CC96">
        <f t="shared" si="179"/>
        <v>0</v>
      </c>
      <c r="CE96" t="str">
        <f t="shared" si="180"/>
        <v>084</v>
      </c>
      <c r="CF96" t="str">
        <f t="shared" si="181"/>
        <v>00</v>
      </c>
      <c r="CG96" t="str">
        <f t="shared" si="181"/>
        <v>00</v>
      </c>
      <c r="CH96" t="str">
        <f t="shared" si="181"/>
        <v>00</v>
      </c>
      <c r="CI96" t="str">
        <f t="shared" si="182"/>
        <v>01</v>
      </c>
      <c r="CJ96" t="str">
        <f t="shared" si="183"/>
        <v>05</v>
      </c>
      <c r="CK96" t="str">
        <f t="shared" si="184"/>
        <v>01</v>
      </c>
      <c r="CL96" t="str">
        <f t="shared" si="185"/>
        <v>02</v>
      </c>
      <c r="CM96" t="str">
        <f t="shared" si="186"/>
        <v>00</v>
      </c>
      <c r="CN96" t="str">
        <f t="shared" si="187"/>
        <v>00</v>
      </c>
      <c r="CO96" t="str">
        <f t="shared" si="188"/>
        <v>00</v>
      </c>
      <c r="CP96" t="str">
        <f t="shared" si="189"/>
        <v>00</v>
      </c>
      <c r="CQ96" t="str">
        <f t="shared" si="190"/>
        <v>00</v>
      </c>
      <c r="CR96" t="str">
        <f t="shared" si="191"/>
        <v>00</v>
      </c>
      <c r="CS96" t="str">
        <f t="shared" si="192"/>
        <v>00</v>
      </c>
      <c r="CT96" t="str">
        <f t="shared" si="193"/>
        <v>00</v>
      </c>
      <c r="CU96" t="str">
        <f t="shared" si="194"/>
        <v>00</v>
      </c>
      <c r="CV96" t="str">
        <f t="shared" si="195"/>
        <v>00</v>
      </c>
      <c r="CW96" t="str">
        <f t="shared" si="196"/>
        <v>00</v>
      </c>
      <c r="CX96" t="str">
        <f t="shared" si="197"/>
        <v>00</v>
      </c>
      <c r="CY96" t="str">
        <f t="shared" si="198"/>
        <v>00</v>
      </c>
      <c r="CZ96" t="str">
        <f t="shared" si="199"/>
        <v>00</v>
      </c>
      <c r="DA96" t="str">
        <f t="shared" si="200"/>
        <v>00</v>
      </c>
      <c r="DB96" t="str">
        <f t="shared" si="201"/>
        <v>04</v>
      </c>
      <c r="DC96" t="str">
        <f t="shared" si="202"/>
        <v>0105010200000000000000000000000000000004</v>
      </c>
      <c r="DD96" t="str">
        <f t="shared" si="203"/>
        <v>Register Ahli kehormat</v>
      </c>
      <c r="DE96" t="s">
        <v>202</v>
      </c>
      <c r="DF96" t="s">
        <v>223</v>
      </c>
      <c r="DG96" t="s">
        <v>224</v>
      </c>
      <c r="DH96" t="s">
        <v>225</v>
      </c>
      <c r="DI96" t="s">
        <v>226</v>
      </c>
      <c r="DJ96" t="s">
        <v>227</v>
      </c>
      <c r="DK96" t="s">
        <v>228</v>
      </c>
      <c r="DL96" t="str">
        <f t="shared" si="204"/>
        <v>084,00,00,00,01,05,01,02,00,00,00,00,00,00,00,00,00,00,00,00,00,00,00,04,0105010200000000000000000000000000000004,Register Ahli kehormat,file84,Blk1,Blk2,Blk3,Blk4,Blk5,Blk6</v>
      </c>
    </row>
    <row r="97" spans="2:116" x14ac:dyDescent="0.25">
      <c r="B97">
        <f t="shared" si="205"/>
        <v>85</v>
      </c>
      <c r="E97" t="s">
        <v>98</v>
      </c>
      <c r="W97">
        <f t="shared" si="206"/>
        <v>0</v>
      </c>
      <c r="X97">
        <f t="shared" si="207"/>
        <v>0</v>
      </c>
      <c r="Y97">
        <f t="shared" si="208"/>
        <v>1</v>
      </c>
      <c r="Z97">
        <f t="shared" si="209"/>
        <v>0</v>
      </c>
      <c r="AA97">
        <f t="shared" si="210"/>
        <v>0</v>
      </c>
      <c r="AB97">
        <f t="shared" si="211"/>
        <v>0</v>
      </c>
      <c r="AC97">
        <f t="shared" si="212"/>
        <v>0</v>
      </c>
      <c r="AD97">
        <f t="shared" si="213"/>
        <v>0</v>
      </c>
      <c r="AE97">
        <f t="shared" si="214"/>
        <v>0</v>
      </c>
      <c r="AF97">
        <f t="shared" si="215"/>
        <v>0</v>
      </c>
      <c r="AG97">
        <f t="shared" si="216"/>
        <v>0</v>
      </c>
      <c r="AH97">
        <f t="shared" si="217"/>
        <v>0</v>
      </c>
      <c r="AI97">
        <f t="shared" si="218"/>
        <v>0</v>
      </c>
      <c r="AJ97">
        <f t="shared" si="219"/>
        <v>0</v>
      </c>
      <c r="AK97">
        <f t="shared" si="220"/>
        <v>0</v>
      </c>
      <c r="AL97">
        <f t="shared" si="221"/>
        <v>0</v>
      </c>
      <c r="AM97">
        <f t="shared" si="222"/>
        <v>0</v>
      </c>
      <c r="AN97">
        <f t="shared" si="223"/>
        <v>0</v>
      </c>
      <c r="AO97">
        <f t="shared" si="224"/>
        <v>0</v>
      </c>
      <c r="AP97" s="2" t="str">
        <f t="shared" si="160"/>
        <v/>
      </c>
      <c r="AQ97" t="str">
        <f t="shared" si="225"/>
        <v>S</v>
      </c>
      <c r="AR97" t="str">
        <f t="shared" si="226"/>
        <v>S</v>
      </c>
      <c r="AS97" t="str">
        <f t="shared" si="227"/>
        <v>+</v>
      </c>
      <c r="AT97" t="str">
        <f t="shared" si="228"/>
        <v/>
      </c>
      <c r="AU97" t="str">
        <f t="shared" si="229"/>
        <v/>
      </c>
      <c r="AV97" t="str">
        <f t="shared" si="230"/>
        <v/>
      </c>
      <c r="AW97" t="str">
        <f t="shared" si="231"/>
        <v/>
      </c>
      <c r="AX97" t="str">
        <f t="shared" si="232"/>
        <v/>
      </c>
      <c r="AY97" t="str">
        <f t="shared" si="233"/>
        <v/>
      </c>
      <c r="AZ97" t="str">
        <f t="shared" si="234"/>
        <v/>
      </c>
      <c r="BA97" t="str">
        <f t="shared" si="235"/>
        <v/>
      </c>
      <c r="BB97" t="str">
        <f t="shared" si="236"/>
        <v/>
      </c>
      <c r="BC97" t="str">
        <f t="shared" si="237"/>
        <v/>
      </c>
      <c r="BD97" t="str">
        <f t="shared" si="238"/>
        <v/>
      </c>
      <c r="BE97" t="str">
        <f t="shared" si="239"/>
        <v/>
      </c>
      <c r="BF97" t="str">
        <f t="shared" si="240"/>
        <v/>
      </c>
      <c r="BG97" t="str">
        <f t="shared" si="241"/>
        <v/>
      </c>
      <c r="BH97" t="str">
        <f t="shared" si="242"/>
        <v/>
      </c>
      <c r="BI97" t="str">
        <f t="shared" si="243"/>
        <v/>
      </c>
      <c r="BK97">
        <f t="shared" si="161"/>
        <v>1</v>
      </c>
      <c r="BL97">
        <f t="shared" si="162"/>
        <v>5</v>
      </c>
      <c r="BM97">
        <f t="shared" si="163"/>
        <v>2</v>
      </c>
      <c r="BN97">
        <f t="shared" si="164"/>
        <v>0</v>
      </c>
      <c r="BO97">
        <f t="shared" si="165"/>
        <v>0</v>
      </c>
      <c r="BP97">
        <f t="shared" si="166"/>
        <v>0</v>
      </c>
      <c r="BQ97">
        <f t="shared" si="167"/>
        <v>0</v>
      </c>
      <c r="BR97">
        <f t="shared" si="168"/>
        <v>0</v>
      </c>
      <c r="BS97">
        <f t="shared" si="169"/>
        <v>0</v>
      </c>
      <c r="BT97">
        <f t="shared" si="170"/>
        <v>0</v>
      </c>
      <c r="BU97">
        <f t="shared" si="171"/>
        <v>0</v>
      </c>
      <c r="BV97">
        <f t="shared" si="172"/>
        <v>0</v>
      </c>
      <c r="BW97">
        <f t="shared" si="173"/>
        <v>0</v>
      </c>
      <c r="BX97">
        <f t="shared" si="174"/>
        <v>0</v>
      </c>
      <c r="BY97">
        <f t="shared" si="175"/>
        <v>0</v>
      </c>
      <c r="BZ97">
        <f t="shared" si="176"/>
        <v>0</v>
      </c>
      <c r="CA97">
        <f t="shared" si="177"/>
        <v>0</v>
      </c>
      <c r="CB97">
        <f t="shared" si="178"/>
        <v>0</v>
      </c>
      <c r="CC97">
        <f t="shared" si="179"/>
        <v>0</v>
      </c>
      <c r="CE97" t="str">
        <f t="shared" si="180"/>
        <v>085</v>
      </c>
      <c r="CF97" t="str">
        <f t="shared" si="181"/>
        <v>00</v>
      </c>
      <c r="CG97" t="str">
        <f t="shared" si="181"/>
        <v>00</v>
      </c>
      <c r="CH97" t="str">
        <f t="shared" si="181"/>
        <v>00</v>
      </c>
      <c r="CI97" t="str">
        <f t="shared" si="182"/>
        <v>01</v>
      </c>
      <c r="CJ97" t="str">
        <f t="shared" si="183"/>
        <v>05</v>
      </c>
      <c r="CK97" t="str">
        <f t="shared" si="184"/>
        <v>02</v>
      </c>
      <c r="CL97" t="str">
        <f t="shared" si="185"/>
        <v>00</v>
      </c>
      <c r="CM97" t="str">
        <f t="shared" si="186"/>
        <v>00</v>
      </c>
      <c r="CN97" t="str">
        <f t="shared" si="187"/>
        <v>00</v>
      </c>
      <c r="CO97" t="str">
        <f t="shared" si="188"/>
        <v>00</v>
      </c>
      <c r="CP97" t="str">
        <f t="shared" si="189"/>
        <v>00</v>
      </c>
      <c r="CQ97" t="str">
        <f t="shared" si="190"/>
        <v>00</v>
      </c>
      <c r="CR97" t="str">
        <f t="shared" si="191"/>
        <v>00</v>
      </c>
      <c r="CS97" t="str">
        <f t="shared" si="192"/>
        <v>00</v>
      </c>
      <c r="CT97" t="str">
        <f t="shared" si="193"/>
        <v>00</v>
      </c>
      <c r="CU97" t="str">
        <f t="shared" si="194"/>
        <v>00</v>
      </c>
      <c r="CV97" t="str">
        <f t="shared" si="195"/>
        <v>00</v>
      </c>
      <c r="CW97" t="str">
        <f t="shared" si="196"/>
        <v>00</v>
      </c>
      <c r="CX97" t="str">
        <f t="shared" si="197"/>
        <v>00</v>
      </c>
      <c r="CY97" t="str">
        <f t="shared" si="198"/>
        <v>00</v>
      </c>
      <c r="CZ97" t="str">
        <f t="shared" si="199"/>
        <v>00</v>
      </c>
      <c r="DA97" t="str">
        <f t="shared" si="200"/>
        <v>00</v>
      </c>
      <c r="DB97" t="str">
        <f t="shared" si="201"/>
        <v>03</v>
      </c>
      <c r="DC97" t="str">
        <f t="shared" si="202"/>
        <v>0105020000000000000000000000000000000003</v>
      </c>
      <c r="DD97" t="str">
        <f t="shared" si="203"/>
        <v>Register Pengurusan</v>
      </c>
      <c r="DE97" t="s">
        <v>229</v>
      </c>
      <c r="DF97" t="s">
        <v>231</v>
      </c>
      <c r="DG97" t="s">
        <v>224</v>
      </c>
      <c r="DH97" t="s">
        <v>225</v>
      </c>
      <c r="DI97" t="s">
        <v>226</v>
      </c>
      <c r="DJ97" t="s">
        <v>227</v>
      </c>
      <c r="DK97" t="s">
        <v>228</v>
      </c>
      <c r="DL97" t="str">
        <f t="shared" si="204"/>
        <v>085,00,00,00,01,05,02,00,00,00,00,00,00,00,00,00,00,00,00,00,00,00,00,03,0105020000000000000000000000000000000003,Register Pengurusan,subpages/formv1/formv1.php,subpages/formv1/formNo2.dat,Blk2,Blk3,Blk4,Blk5,Blk6</v>
      </c>
    </row>
    <row r="98" spans="2:116" x14ac:dyDescent="0.25">
      <c r="B98">
        <f t="shared" si="205"/>
        <v>86</v>
      </c>
      <c r="F98" t="s">
        <v>101</v>
      </c>
      <c r="W98">
        <f t="shared" si="206"/>
        <v>0</v>
      </c>
      <c r="X98">
        <f t="shared" si="207"/>
        <v>0</v>
      </c>
      <c r="Y98">
        <f t="shared" si="208"/>
        <v>0</v>
      </c>
      <c r="Z98">
        <f t="shared" si="209"/>
        <v>1</v>
      </c>
      <c r="AA98">
        <f t="shared" si="210"/>
        <v>0</v>
      </c>
      <c r="AB98">
        <f t="shared" si="211"/>
        <v>0</v>
      </c>
      <c r="AC98">
        <f t="shared" si="212"/>
        <v>0</v>
      </c>
      <c r="AD98">
        <f t="shared" si="213"/>
        <v>0</v>
      </c>
      <c r="AE98">
        <f t="shared" si="214"/>
        <v>0</v>
      </c>
      <c r="AF98">
        <f t="shared" si="215"/>
        <v>0</v>
      </c>
      <c r="AG98">
        <f t="shared" si="216"/>
        <v>0</v>
      </c>
      <c r="AH98">
        <f t="shared" si="217"/>
        <v>0</v>
      </c>
      <c r="AI98">
        <f t="shared" si="218"/>
        <v>0</v>
      </c>
      <c r="AJ98">
        <f t="shared" si="219"/>
        <v>0</v>
      </c>
      <c r="AK98">
        <f t="shared" si="220"/>
        <v>0</v>
      </c>
      <c r="AL98">
        <f t="shared" si="221"/>
        <v>0</v>
      </c>
      <c r="AM98">
        <f t="shared" si="222"/>
        <v>0</v>
      </c>
      <c r="AN98">
        <f t="shared" si="223"/>
        <v>0</v>
      </c>
      <c r="AO98">
        <f t="shared" si="224"/>
        <v>0</v>
      </c>
      <c r="AP98" s="2" t="str">
        <f t="shared" si="160"/>
        <v/>
      </c>
      <c r="AQ98" t="str">
        <f t="shared" si="225"/>
        <v>S</v>
      </c>
      <c r="AR98" t="str">
        <f t="shared" si="226"/>
        <v>S</v>
      </c>
      <c r="AS98" t="str">
        <f t="shared" si="227"/>
        <v>S</v>
      </c>
      <c r="AT98">
        <f t="shared" si="228"/>
        <v>1</v>
      </c>
      <c r="AU98" t="str">
        <f t="shared" si="229"/>
        <v/>
      </c>
      <c r="AV98" t="str">
        <f t="shared" si="230"/>
        <v/>
      </c>
      <c r="AW98" t="str">
        <f t="shared" si="231"/>
        <v/>
      </c>
      <c r="AX98" t="str">
        <f t="shared" si="232"/>
        <v/>
      </c>
      <c r="AY98" t="str">
        <f t="shared" si="233"/>
        <v/>
      </c>
      <c r="AZ98" t="str">
        <f t="shared" si="234"/>
        <v/>
      </c>
      <c r="BA98" t="str">
        <f t="shared" si="235"/>
        <v/>
      </c>
      <c r="BB98" t="str">
        <f t="shared" si="236"/>
        <v/>
      </c>
      <c r="BC98" t="str">
        <f t="shared" si="237"/>
        <v/>
      </c>
      <c r="BD98" t="str">
        <f t="shared" si="238"/>
        <v/>
      </c>
      <c r="BE98" t="str">
        <f t="shared" si="239"/>
        <v/>
      </c>
      <c r="BF98" t="str">
        <f t="shared" si="240"/>
        <v/>
      </c>
      <c r="BG98" t="str">
        <f t="shared" si="241"/>
        <v/>
      </c>
      <c r="BH98" t="str">
        <f t="shared" si="242"/>
        <v/>
      </c>
      <c r="BI98" t="str">
        <f t="shared" si="243"/>
        <v/>
      </c>
      <c r="BK98">
        <f t="shared" si="161"/>
        <v>1</v>
      </c>
      <c r="BL98">
        <f t="shared" si="162"/>
        <v>5</v>
      </c>
      <c r="BM98">
        <f t="shared" si="163"/>
        <v>2</v>
      </c>
      <c r="BN98">
        <f t="shared" si="164"/>
        <v>1</v>
      </c>
      <c r="BO98">
        <f t="shared" si="165"/>
        <v>0</v>
      </c>
      <c r="BP98">
        <f t="shared" si="166"/>
        <v>0</v>
      </c>
      <c r="BQ98">
        <f t="shared" si="167"/>
        <v>0</v>
      </c>
      <c r="BR98">
        <f t="shared" si="168"/>
        <v>0</v>
      </c>
      <c r="BS98">
        <f t="shared" si="169"/>
        <v>0</v>
      </c>
      <c r="BT98">
        <f t="shared" si="170"/>
        <v>0</v>
      </c>
      <c r="BU98">
        <f t="shared" si="171"/>
        <v>0</v>
      </c>
      <c r="BV98">
        <f t="shared" si="172"/>
        <v>0</v>
      </c>
      <c r="BW98">
        <f t="shared" si="173"/>
        <v>0</v>
      </c>
      <c r="BX98">
        <f t="shared" si="174"/>
        <v>0</v>
      </c>
      <c r="BY98">
        <f t="shared" si="175"/>
        <v>0</v>
      </c>
      <c r="BZ98">
        <f t="shared" si="176"/>
        <v>0</v>
      </c>
      <c r="CA98">
        <f t="shared" si="177"/>
        <v>0</v>
      </c>
      <c r="CB98">
        <f t="shared" si="178"/>
        <v>0</v>
      </c>
      <c r="CC98">
        <f t="shared" si="179"/>
        <v>0</v>
      </c>
      <c r="CE98" t="str">
        <f t="shared" si="180"/>
        <v>086</v>
      </c>
      <c r="CF98" t="str">
        <f t="shared" si="181"/>
        <v>00</v>
      </c>
      <c r="CG98" t="str">
        <f t="shared" si="181"/>
        <v>00</v>
      </c>
      <c r="CH98" t="str">
        <f t="shared" si="181"/>
        <v>00</v>
      </c>
      <c r="CI98" t="str">
        <f t="shared" si="182"/>
        <v>01</v>
      </c>
      <c r="CJ98" t="str">
        <f t="shared" si="183"/>
        <v>05</v>
      </c>
      <c r="CK98" t="str">
        <f t="shared" si="184"/>
        <v>02</v>
      </c>
      <c r="CL98" t="str">
        <f t="shared" si="185"/>
        <v>01</v>
      </c>
      <c r="CM98" t="str">
        <f t="shared" si="186"/>
        <v>00</v>
      </c>
      <c r="CN98" t="str">
        <f t="shared" si="187"/>
        <v>00</v>
      </c>
      <c r="CO98" t="str">
        <f t="shared" si="188"/>
        <v>00</v>
      </c>
      <c r="CP98" t="str">
        <f t="shared" si="189"/>
        <v>00</v>
      </c>
      <c r="CQ98" t="str">
        <f t="shared" si="190"/>
        <v>00</v>
      </c>
      <c r="CR98" t="str">
        <f t="shared" si="191"/>
        <v>00</v>
      </c>
      <c r="CS98" t="str">
        <f t="shared" si="192"/>
        <v>00</v>
      </c>
      <c r="CT98" t="str">
        <f t="shared" si="193"/>
        <v>00</v>
      </c>
      <c r="CU98" t="str">
        <f t="shared" si="194"/>
        <v>00</v>
      </c>
      <c r="CV98" t="str">
        <f t="shared" si="195"/>
        <v>00</v>
      </c>
      <c r="CW98" t="str">
        <f t="shared" si="196"/>
        <v>00</v>
      </c>
      <c r="CX98" t="str">
        <f t="shared" si="197"/>
        <v>00</v>
      </c>
      <c r="CY98" t="str">
        <f t="shared" si="198"/>
        <v>00</v>
      </c>
      <c r="CZ98" t="str">
        <f t="shared" si="199"/>
        <v>00</v>
      </c>
      <c r="DA98" t="str">
        <f t="shared" si="200"/>
        <v>00</v>
      </c>
      <c r="DB98" t="str">
        <f t="shared" si="201"/>
        <v>04</v>
      </c>
      <c r="DC98" t="str">
        <f t="shared" si="202"/>
        <v>0105020100000000000000000000000000000004</v>
      </c>
      <c r="DD98" t="str">
        <f t="shared" si="203"/>
        <v>Register Pengurusan biasa</v>
      </c>
      <c r="DE98" t="s">
        <v>203</v>
      </c>
      <c r="DF98" t="s">
        <v>223</v>
      </c>
      <c r="DG98" t="s">
        <v>224</v>
      </c>
      <c r="DH98" t="s">
        <v>225</v>
      </c>
      <c r="DI98" t="s">
        <v>226</v>
      </c>
      <c r="DJ98" t="s">
        <v>227</v>
      </c>
      <c r="DK98" t="s">
        <v>228</v>
      </c>
      <c r="DL98" t="str">
        <f t="shared" si="204"/>
        <v>086,00,00,00,01,05,02,01,00,00,00,00,00,00,00,00,00,00,00,00,00,00,00,04,0105020100000000000000000000000000000004,Register Pengurusan biasa,file86,Blk1,Blk2,Blk3,Blk4,Blk5,Blk6</v>
      </c>
    </row>
    <row r="99" spans="2:116" x14ac:dyDescent="0.25">
      <c r="B99">
        <f t="shared" si="205"/>
        <v>87</v>
      </c>
      <c r="F99" t="s">
        <v>100</v>
      </c>
      <c r="W99">
        <f t="shared" si="206"/>
        <v>0</v>
      </c>
      <c r="X99">
        <f t="shared" si="207"/>
        <v>0</v>
      </c>
      <c r="Y99">
        <f t="shared" si="208"/>
        <v>0</v>
      </c>
      <c r="Z99">
        <f t="shared" si="209"/>
        <v>1</v>
      </c>
      <c r="AA99">
        <f t="shared" si="210"/>
        <v>0</v>
      </c>
      <c r="AB99">
        <f t="shared" si="211"/>
        <v>0</v>
      </c>
      <c r="AC99">
        <f t="shared" si="212"/>
        <v>0</v>
      </c>
      <c r="AD99">
        <f t="shared" si="213"/>
        <v>0</v>
      </c>
      <c r="AE99">
        <f t="shared" si="214"/>
        <v>0</v>
      </c>
      <c r="AF99">
        <f t="shared" si="215"/>
        <v>0</v>
      </c>
      <c r="AG99">
        <f t="shared" si="216"/>
        <v>0</v>
      </c>
      <c r="AH99">
        <f t="shared" si="217"/>
        <v>0</v>
      </c>
      <c r="AI99">
        <f t="shared" si="218"/>
        <v>0</v>
      </c>
      <c r="AJ99">
        <f t="shared" si="219"/>
        <v>0</v>
      </c>
      <c r="AK99">
        <f t="shared" si="220"/>
        <v>0</v>
      </c>
      <c r="AL99">
        <f t="shared" si="221"/>
        <v>0</v>
      </c>
      <c r="AM99">
        <f t="shared" si="222"/>
        <v>0</v>
      </c>
      <c r="AN99">
        <f t="shared" si="223"/>
        <v>0</v>
      </c>
      <c r="AO99">
        <f t="shared" si="224"/>
        <v>0</v>
      </c>
      <c r="AP99" s="2" t="str">
        <f t="shared" si="160"/>
        <v/>
      </c>
      <c r="AQ99" t="str">
        <f t="shared" si="225"/>
        <v>S</v>
      </c>
      <c r="AR99" t="str">
        <f t="shared" si="226"/>
        <v>S</v>
      </c>
      <c r="AS99" t="str">
        <f t="shared" si="227"/>
        <v>S</v>
      </c>
      <c r="AT99" t="str">
        <f t="shared" si="228"/>
        <v>+</v>
      </c>
      <c r="AU99" t="str">
        <f t="shared" si="229"/>
        <v/>
      </c>
      <c r="AV99" t="str">
        <f t="shared" si="230"/>
        <v/>
      </c>
      <c r="AW99" t="str">
        <f t="shared" si="231"/>
        <v/>
      </c>
      <c r="AX99" t="str">
        <f t="shared" si="232"/>
        <v/>
      </c>
      <c r="AY99" t="str">
        <f t="shared" si="233"/>
        <v/>
      </c>
      <c r="AZ99" t="str">
        <f t="shared" si="234"/>
        <v/>
      </c>
      <c r="BA99" t="str">
        <f t="shared" si="235"/>
        <v/>
      </c>
      <c r="BB99" t="str">
        <f t="shared" si="236"/>
        <v/>
      </c>
      <c r="BC99" t="str">
        <f t="shared" si="237"/>
        <v/>
      </c>
      <c r="BD99" t="str">
        <f t="shared" si="238"/>
        <v/>
      </c>
      <c r="BE99" t="str">
        <f t="shared" si="239"/>
        <v/>
      </c>
      <c r="BF99" t="str">
        <f t="shared" si="240"/>
        <v/>
      </c>
      <c r="BG99" t="str">
        <f t="shared" si="241"/>
        <v/>
      </c>
      <c r="BH99" t="str">
        <f t="shared" si="242"/>
        <v/>
      </c>
      <c r="BI99" t="str">
        <f t="shared" si="243"/>
        <v/>
      </c>
      <c r="BK99">
        <f t="shared" si="161"/>
        <v>1</v>
      </c>
      <c r="BL99">
        <f t="shared" si="162"/>
        <v>5</v>
      </c>
      <c r="BM99">
        <f t="shared" si="163"/>
        <v>2</v>
      </c>
      <c r="BN99">
        <f t="shared" si="164"/>
        <v>2</v>
      </c>
      <c r="BO99">
        <f t="shared" si="165"/>
        <v>0</v>
      </c>
      <c r="BP99">
        <f t="shared" si="166"/>
        <v>0</v>
      </c>
      <c r="BQ99">
        <f t="shared" si="167"/>
        <v>0</v>
      </c>
      <c r="BR99">
        <f t="shared" si="168"/>
        <v>0</v>
      </c>
      <c r="BS99">
        <f t="shared" si="169"/>
        <v>0</v>
      </c>
      <c r="BT99">
        <f t="shared" si="170"/>
        <v>0</v>
      </c>
      <c r="BU99">
        <f t="shared" si="171"/>
        <v>0</v>
      </c>
      <c r="BV99">
        <f t="shared" si="172"/>
        <v>0</v>
      </c>
      <c r="BW99">
        <f t="shared" si="173"/>
        <v>0</v>
      </c>
      <c r="BX99">
        <f t="shared" si="174"/>
        <v>0</v>
      </c>
      <c r="BY99">
        <f t="shared" si="175"/>
        <v>0</v>
      </c>
      <c r="BZ99">
        <f t="shared" si="176"/>
        <v>0</v>
      </c>
      <c r="CA99">
        <f t="shared" si="177"/>
        <v>0</v>
      </c>
      <c r="CB99">
        <f t="shared" si="178"/>
        <v>0</v>
      </c>
      <c r="CC99">
        <f t="shared" si="179"/>
        <v>0</v>
      </c>
      <c r="CE99" t="str">
        <f t="shared" si="180"/>
        <v>087</v>
      </c>
      <c r="CF99" t="str">
        <f t="shared" si="181"/>
        <v>00</v>
      </c>
      <c r="CG99" t="str">
        <f t="shared" si="181"/>
        <v>00</v>
      </c>
      <c r="CH99" t="str">
        <f t="shared" si="181"/>
        <v>00</v>
      </c>
      <c r="CI99" t="str">
        <f t="shared" si="182"/>
        <v>01</v>
      </c>
      <c r="CJ99" t="str">
        <f t="shared" si="183"/>
        <v>05</v>
      </c>
      <c r="CK99" t="str">
        <f t="shared" si="184"/>
        <v>02</v>
      </c>
      <c r="CL99" t="str">
        <f t="shared" si="185"/>
        <v>02</v>
      </c>
      <c r="CM99" t="str">
        <f t="shared" si="186"/>
        <v>00</v>
      </c>
      <c r="CN99" t="str">
        <f t="shared" si="187"/>
        <v>00</v>
      </c>
      <c r="CO99" t="str">
        <f t="shared" si="188"/>
        <v>00</v>
      </c>
      <c r="CP99" t="str">
        <f t="shared" si="189"/>
        <v>00</v>
      </c>
      <c r="CQ99" t="str">
        <f t="shared" si="190"/>
        <v>00</v>
      </c>
      <c r="CR99" t="str">
        <f t="shared" si="191"/>
        <v>00</v>
      </c>
      <c r="CS99" t="str">
        <f t="shared" si="192"/>
        <v>00</v>
      </c>
      <c r="CT99" t="str">
        <f t="shared" si="193"/>
        <v>00</v>
      </c>
      <c r="CU99" t="str">
        <f t="shared" si="194"/>
        <v>00</v>
      </c>
      <c r="CV99" t="str">
        <f t="shared" si="195"/>
        <v>00</v>
      </c>
      <c r="CW99" t="str">
        <f t="shared" si="196"/>
        <v>00</v>
      </c>
      <c r="CX99" t="str">
        <f t="shared" si="197"/>
        <v>00</v>
      </c>
      <c r="CY99" t="str">
        <f t="shared" si="198"/>
        <v>00</v>
      </c>
      <c r="CZ99" t="str">
        <f t="shared" si="199"/>
        <v>00</v>
      </c>
      <c r="DA99" t="str">
        <f t="shared" si="200"/>
        <v>00</v>
      </c>
      <c r="DB99" t="str">
        <f t="shared" si="201"/>
        <v>04</v>
      </c>
      <c r="DC99" t="str">
        <f t="shared" si="202"/>
        <v>0105020200000000000000000000000000000004</v>
      </c>
      <c r="DD99" t="str">
        <f t="shared" si="203"/>
        <v>Register Pengurusan tengah</v>
      </c>
      <c r="DE99" t="s">
        <v>204</v>
      </c>
      <c r="DF99" t="s">
        <v>223</v>
      </c>
      <c r="DG99" t="s">
        <v>224</v>
      </c>
      <c r="DH99" t="s">
        <v>225</v>
      </c>
      <c r="DI99" t="s">
        <v>226</v>
      </c>
      <c r="DJ99" t="s">
        <v>227</v>
      </c>
      <c r="DK99" t="s">
        <v>228</v>
      </c>
      <c r="DL99" t="str">
        <f t="shared" si="204"/>
        <v>087,00,00,00,01,05,02,02,00,00,00,00,00,00,00,00,00,00,00,00,00,00,00,04,0105020200000000000000000000000000000004,Register Pengurusan tengah,file87,Blk1,Blk2,Blk3,Blk4,Blk5,Blk6</v>
      </c>
    </row>
    <row r="100" spans="2:116" x14ac:dyDescent="0.25">
      <c r="B100">
        <f t="shared" si="205"/>
        <v>88</v>
      </c>
      <c r="F100" t="s">
        <v>99</v>
      </c>
      <c r="W100">
        <f t="shared" si="206"/>
        <v>0</v>
      </c>
      <c r="X100">
        <f t="shared" si="207"/>
        <v>0</v>
      </c>
      <c r="Y100">
        <f t="shared" si="208"/>
        <v>0</v>
      </c>
      <c r="Z100">
        <f t="shared" si="209"/>
        <v>1</v>
      </c>
      <c r="AA100">
        <f t="shared" si="210"/>
        <v>0</v>
      </c>
      <c r="AB100">
        <f t="shared" si="211"/>
        <v>0</v>
      </c>
      <c r="AC100">
        <f t="shared" si="212"/>
        <v>0</v>
      </c>
      <c r="AD100">
        <f t="shared" si="213"/>
        <v>0</v>
      </c>
      <c r="AE100">
        <f t="shared" si="214"/>
        <v>0</v>
      </c>
      <c r="AF100">
        <f t="shared" si="215"/>
        <v>0</v>
      </c>
      <c r="AG100">
        <f t="shared" si="216"/>
        <v>0</v>
      </c>
      <c r="AH100">
        <f t="shared" si="217"/>
        <v>0</v>
      </c>
      <c r="AI100">
        <f t="shared" si="218"/>
        <v>0</v>
      </c>
      <c r="AJ100">
        <f t="shared" si="219"/>
        <v>0</v>
      </c>
      <c r="AK100">
        <f t="shared" si="220"/>
        <v>0</v>
      </c>
      <c r="AL100">
        <f t="shared" si="221"/>
        <v>0</v>
      </c>
      <c r="AM100">
        <f t="shared" si="222"/>
        <v>0</v>
      </c>
      <c r="AN100">
        <f t="shared" si="223"/>
        <v>0</v>
      </c>
      <c r="AO100">
        <f t="shared" si="224"/>
        <v>0</v>
      </c>
      <c r="AP100" s="2" t="str">
        <f t="shared" si="160"/>
        <v/>
      </c>
      <c r="AQ100" t="str">
        <f t="shared" si="225"/>
        <v>S</v>
      </c>
      <c r="AR100" t="str">
        <f t="shared" si="226"/>
        <v>S</v>
      </c>
      <c r="AS100" t="str">
        <f t="shared" si="227"/>
        <v>S</v>
      </c>
      <c r="AT100" t="str">
        <f t="shared" si="228"/>
        <v>+</v>
      </c>
      <c r="AU100" t="str">
        <f t="shared" si="229"/>
        <v/>
      </c>
      <c r="AV100" t="str">
        <f t="shared" si="230"/>
        <v/>
      </c>
      <c r="AW100" t="str">
        <f t="shared" si="231"/>
        <v/>
      </c>
      <c r="AX100" t="str">
        <f t="shared" si="232"/>
        <v/>
      </c>
      <c r="AY100" t="str">
        <f t="shared" si="233"/>
        <v/>
      </c>
      <c r="AZ100" t="str">
        <f t="shared" si="234"/>
        <v/>
      </c>
      <c r="BA100" t="str">
        <f t="shared" si="235"/>
        <v/>
      </c>
      <c r="BB100" t="str">
        <f t="shared" si="236"/>
        <v/>
      </c>
      <c r="BC100" t="str">
        <f t="shared" si="237"/>
        <v/>
      </c>
      <c r="BD100" t="str">
        <f t="shared" si="238"/>
        <v/>
      </c>
      <c r="BE100" t="str">
        <f t="shared" si="239"/>
        <v/>
      </c>
      <c r="BF100" t="str">
        <f t="shared" si="240"/>
        <v/>
      </c>
      <c r="BG100" t="str">
        <f t="shared" si="241"/>
        <v/>
      </c>
      <c r="BH100" t="str">
        <f t="shared" si="242"/>
        <v/>
      </c>
      <c r="BI100" t="str">
        <f t="shared" si="243"/>
        <v/>
      </c>
      <c r="BK100">
        <f t="shared" si="161"/>
        <v>1</v>
      </c>
      <c r="BL100">
        <f t="shared" si="162"/>
        <v>5</v>
      </c>
      <c r="BM100">
        <f t="shared" si="163"/>
        <v>2</v>
      </c>
      <c r="BN100">
        <f t="shared" si="164"/>
        <v>3</v>
      </c>
      <c r="BO100">
        <f t="shared" si="165"/>
        <v>0</v>
      </c>
      <c r="BP100">
        <f t="shared" si="166"/>
        <v>0</v>
      </c>
      <c r="BQ100">
        <f t="shared" si="167"/>
        <v>0</v>
      </c>
      <c r="BR100">
        <f t="shared" si="168"/>
        <v>0</v>
      </c>
      <c r="BS100">
        <f t="shared" si="169"/>
        <v>0</v>
      </c>
      <c r="BT100">
        <f t="shared" si="170"/>
        <v>0</v>
      </c>
      <c r="BU100">
        <f t="shared" si="171"/>
        <v>0</v>
      </c>
      <c r="BV100">
        <f t="shared" si="172"/>
        <v>0</v>
      </c>
      <c r="BW100">
        <f t="shared" si="173"/>
        <v>0</v>
      </c>
      <c r="BX100">
        <f t="shared" si="174"/>
        <v>0</v>
      </c>
      <c r="BY100">
        <f t="shared" si="175"/>
        <v>0</v>
      </c>
      <c r="BZ100">
        <f t="shared" si="176"/>
        <v>0</v>
      </c>
      <c r="CA100">
        <f t="shared" si="177"/>
        <v>0</v>
      </c>
      <c r="CB100">
        <f t="shared" si="178"/>
        <v>0</v>
      </c>
      <c r="CC100">
        <f t="shared" si="179"/>
        <v>0</v>
      </c>
      <c r="CE100" t="str">
        <f t="shared" si="180"/>
        <v>088</v>
      </c>
      <c r="CF100" t="str">
        <f t="shared" si="181"/>
        <v>00</v>
      </c>
      <c r="CG100" t="str">
        <f t="shared" si="181"/>
        <v>00</v>
      </c>
      <c r="CH100" t="str">
        <f t="shared" si="181"/>
        <v>00</v>
      </c>
      <c r="CI100" t="str">
        <f t="shared" si="182"/>
        <v>01</v>
      </c>
      <c r="CJ100" t="str">
        <f t="shared" si="183"/>
        <v>05</v>
      </c>
      <c r="CK100" t="str">
        <f t="shared" si="184"/>
        <v>02</v>
      </c>
      <c r="CL100" t="str">
        <f t="shared" si="185"/>
        <v>03</v>
      </c>
      <c r="CM100" t="str">
        <f t="shared" si="186"/>
        <v>00</v>
      </c>
      <c r="CN100" t="str">
        <f t="shared" si="187"/>
        <v>00</v>
      </c>
      <c r="CO100" t="str">
        <f t="shared" si="188"/>
        <v>00</v>
      </c>
      <c r="CP100" t="str">
        <f t="shared" si="189"/>
        <v>00</v>
      </c>
      <c r="CQ100" t="str">
        <f t="shared" si="190"/>
        <v>00</v>
      </c>
      <c r="CR100" t="str">
        <f t="shared" si="191"/>
        <v>00</v>
      </c>
      <c r="CS100" t="str">
        <f t="shared" si="192"/>
        <v>00</v>
      </c>
      <c r="CT100" t="str">
        <f t="shared" si="193"/>
        <v>00</v>
      </c>
      <c r="CU100" t="str">
        <f t="shared" si="194"/>
        <v>00</v>
      </c>
      <c r="CV100" t="str">
        <f t="shared" si="195"/>
        <v>00</v>
      </c>
      <c r="CW100" t="str">
        <f t="shared" si="196"/>
        <v>00</v>
      </c>
      <c r="CX100" t="str">
        <f t="shared" si="197"/>
        <v>00</v>
      </c>
      <c r="CY100" t="str">
        <f t="shared" si="198"/>
        <v>00</v>
      </c>
      <c r="CZ100" t="str">
        <f t="shared" si="199"/>
        <v>00</v>
      </c>
      <c r="DA100" t="str">
        <f t="shared" si="200"/>
        <v>00</v>
      </c>
      <c r="DB100" t="str">
        <f t="shared" si="201"/>
        <v>04</v>
      </c>
      <c r="DC100" t="str">
        <f t="shared" si="202"/>
        <v>0105020300000000000000000000000000000004</v>
      </c>
      <c r="DD100" t="str">
        <f t="shared" si="203"/>
        <v>Register Pengurusan tertinggi</v>
      </c>
      <c r="DE100" t="s">
        <v>205</v>
      </c>
      <c r="DF100" t="s">
        <v>223</v>
      </c>
      <c r="DG100" t="s">
        <v>224</v>
      </c>
      <c r="DH100" t="s">
        <v>225</v>
      </c>
      <c r="DI100" t="s">
        <v>226</v>
      </c>
      <c r="DJ100" t="s">
        <v>227</v>
      </c>
      <c r="DK100" t="s">
        <v>228</v>
      </c>
      <c r="DL100" t="str">
        <f t="shared" si="204"/>
        <v>088,00,00,00,01,05,02,03,00,00,00,00,00,00,00,00,00,00,00,00,00,00,00,04,0105020300000000000000000000000000000004,Register Pengurusan tertinggi,file88,Blk1,Blk2,Blk3,Blk4,Blk5,Blk6</v>
      </c>
    </row>
    <row r="101" spans="2:116" x14ac:dyDescent="0.25">
      <c r="B101">
        <f t="shared" si="205"/>
        <v>89</v>
      </c>
      <c r="E101" t="s">
        <v>102</v>
      </c>
      <c r="W101">
        <f t="shared" si="206"/>
        <v>0</v>
      </c>
      <c r="X101">
        <f t="shared" si="207"/>
        <v>0</v>
      </c>
      <c r="Y101">
        <f t="shared" si="208"/>
        <v>1</v>
      </c>
      <c r="Z101">
        <f t="shared" si="209"/>
        <v>0</v>
      </c>
      <c r="AA101">
        <f t="shared" si="210"/>
        <v>0</v>
      </c>
      <c r="AB101">
        <f t="shared" si="211"/>
        <v>0</v>
      </c>
      <c r="AC101">
        <f t="shared" si="212"/>
        <v>0</v>
      </c>
      <c r="AD101">
        <f t="shared" si="213"/>
        <v>0</v>
      </c>
      <c r="AE101">
        <f t="shared" si="214"/>
        <v>0</v>
      </c>
      <c r="AF101">
        <f t="shared" si="215"/>
        <v>0</v>
      </c>
      <c r="AG101">
        <f t="shared" si="216"/>
        <v>0</v>
      </c>
      <c r="AH101">
        <f t="shared" si="217"/>
        <v>0</v>
      </c>
      <c r="AI101">
        <f t="shared" si="218"/>
        <v>0</v>
      </c>
      <c r="AJ101">
        <f t="shared" si="219"/>
        <v>0</v>
      </c>
      <c r="AK101">
        <f t="shared" si="220"/>
        <v>0</v>
      </c>
      <c r="AL101">
        <f t="shared" si="221"/>
        <v>0</v>
      </c>
      <c r="AM101">
        <f t="shared" si="222"/>
        <v>0</v>
      </c>
      <c r="AN101">
        <f t="shared" si="223"/>
        <v>0</v>
      </c>
      <c r="AO101">
        <f t="shared" si="224"/>
        <v>0</v>
      </c>
      <c r="AP101" s="2" t="str">
        <f t="shared" si="160"/>
        <v/>
      </c>
      <c r="AQ101" t="str">
        <f t="shared" si="225"/>
        <v>S</v>
      </c>
      <c r="AR101" t="str">
        <f t="shared" si="226"/>
        <v>S</v>
      </c>
      <c r="AS101" t="str">
        <f t="shared" si="227"/>
        <v>+</v>
      </c>
      <c r="AT101" t="str">
        <f t="shared" si="228"/>
        <v/>
      </c>
      <c r="AU101" t="str">
        <f t="shared" si="229"/>
        <v/>
      </c>
      <c r="AV101" t="str">
        <f t="shared" si="230"/>
        <v/>
      </c>
      <c r="AW101" t="str">
        <f t="shared" si="231"/>
        <v/>
      </c>
      <c r="AX101" t="str">
        <f t="shared" si="232"/>
        <v/>
      </c>
      <c r="AY101" t="str">
        <f t="shared" si="233"/>
        <v/>
      </c>
      <c r="AZ101" t="str">
        <f t="shared" si="234"/>
        <v/>
      </c>
      <c r="BA101" t="str">
        <f t="shared" si="235"/>
        <v/>
      </c>
      <c r="BB101" t="str">
        <f t="shared" si="236"/>
        <v/>
      </c>
      <c r="BC101" t="str">
        <f t="shared" si="237"/>
        <v/>
      </c>
      <c r="BD101" t="str">
        <f t="shared" si="238"/>
        <v/>
      </c>
      <c r="BE101" t="str">
        <f t="shared" si="239"/>
        <v/>
      </c>
      <c r="BF101" t="str">
        <f t="shared" si="240"/>
        <v/>
      </c>
      <c r="BG101" t="str">
        <f t="shared" si="241"/>
        <v/>
      </c>
      <c r="BH101" t="str">
        <f t="shared" si="242"/>
        <v/>
      </c>
      <c r="BI101" t="str">
        <f t="shared" si="243"/>
        <v/>
      </c>
      <c r="BK101">
        <f t="shared" si="161"/>
        <v>1</v>
      </c>
      <c r="BL101">
        <f t="shared" si="162"/>
        <v>5</v>
      </c>
      <c r="BM101">
        <f t="shared" si="163"/>
        <v>3</v>
      </c>
      <c r="BN101">
        <f t="shared" si="164"/>
        <v>0</v>
      </c>
      <c r="BO101">
        <f t="shared" si="165"/>
        <v>0</v>
      </c>
      <c r="BP101">
        <f t="shared" si="166"/>
        <v>0</v>
      </c>
      <c r="BQ101">
        <f t="shared" si="167"/>
        <v>0</v>
      </c>
      <c r="BR101">
        <f t="shared" si="168"/>
        <v>0</v>
      </c>
      <c r="BS101">
        <f t="shared" si="169"/>
        <v>0</v>
      </c>
      <c r="BT101">
        <f t="shared" si="170"/>
        <v>0</v>
      </c>
      <c r="BU101">
        <f t="shared" si="171"/>
        <v>0</v>
      </c>
      <c r="BV101">
        <f t="shared" si="172"/>
        <v>0</v>
      </c>
      <c r="BW101">
        <f t="shared" si="173"/>
        <v>0</v>
      </c>
      <c r="BX101">
        <f t="shared" si="174"/>
        <v>0</v>
      </c>
      <c r="BY101">
        <f t="shared" si="175"/>
        <v>0</v>
      </c>
      <c r="BZ101">
        <f t="shared" si="176"/>
        <v>0</v>
      </c>
      <c r="CA101">
        <f t="shared" si="177"/>
        <v>0</v>
      </c>
      <c r="CB101">
        <f t="shared" si="178"/>
        <v>0</v>
      </c>
      <c r="CC101">
        <f t="shared" si="179"/>
        <v>0</v>
      </c>
      <c r="CE101" t="str">
        <f t="shared" si="180"/>
        <v>089</v>
      </c>
      <c r="CF101" t="str">
        <f t="shared" si="181"/>
        <v>00</v>
      </c>
      <c r="CG101" t="str">
        <f t="shared" si="181"/>
        <v>00</v>
      </c>
      <c r="CH101" t="str">
        <f t="shared" si="181"/>
        <v>00</v>
      </c>
      <c r="CI101" t="str">
        <f t="shared" si="182"/>
        <v>01</v>
      </c>
      <c r="CJ101" t="str">
        <f t="shared" si="183"/>
        <v>05</v>
      </c>
      <c r="CK101" t="str">
        <f t="shared" si="184"/>
        <v>03</v>
      </c>
      <c r="CL101" t="str">
        <f t="shared" si="185"/>
        <v>00</v>
      </c>
      <c r="CM101" t="str">
        <f t="shared" si="186"/>
        <v>00</v>
      </c>
      <c r="CN101" t="str">
        <f t="shared" si="187"/>
        <v>00</v>
      </c>
      <c r="CO101" t="str">
        <f t="shared" si="188"/>
        <v>00</v>
      </c>
      <c r="CP101" t="str">
        <f t="shared" si="189"/>
        <v>00</v>
      </c>
      <c r="CQ101" t="str">
        <f t="shared" si="190"/>
        <v>00</v>
      </c>
      <c r="CR101" t="str">
        <f t="shared" si="191"/>
        <v>00</v>
      </c>
      <c r="CS101" t="str">
        <f t="shared" si="192"/>
        <v>00</v>
      </c>
      <c r="CT101" t="str">
        <f t="shared" si="193"/>
        <v>00</v>
      </c>
      <c r="CU101" t="str">
        <f t="shared" si="194"/>
        <v>00</v>
      </c>
      <c r="CV101" t="str">
        <f t="shared" si="195"/>
        <v>00</v>
      </c>
      <c r="CW101" t="str">
        <f t="shared" si="196"/>
        <v>00</v>
      </c>
      <c r="CX101" t="str">
        <f t="shared" si="197"/>
        <v>00</v>
      </c>
      <c r="CY101" t="str">
        <f t="shared" si="198"/>
        <v>00</v>
      </c>
      <c r="CZ101" t="str">
        <f t="shared" si="199"/>
        <v>00</v>
      </c>
      <c r="DA101" t="str">
        <f t="shared" si="200"/>
        <v>00</v>
      </c>
      <c r="DB101" t="str">
        <f t="shared" si="201"/>
        <v>03</v>
      </c>
      <c r="DC101" t="str">
        <f t="shared" si="202"/>
        <v>0105030000000000000000000000000000000003</v>
      </c>
      <c r="DD101" t="str">
        <f t="shared" si="203"/>
        <v>Register tetamu</v>
      </c>
      <c r="DE101" t="s">
        <v>229</v>
      </c>
      <c r="DF101" t="s">
        <v>232</v>
      </c>
      <c r="DG101" t="s">
        <v>224</v>
      </c>
      <c r="DH101" t="s">
        <v>225</v>
      </c>
      <c r="DI101" t="s">
        <v>226</v>
      </c>
      <c r="DJ101" t="s">
        <v>227</v>
      </c>
      <c r="DK101" t="s">
        <v>228</v>
      </c>
      <c r="DL101" t="str">
        <f t="shared" si="204"/>
        <v>089,00,00,00,01,05,03,00,00,00,00,00,00,00,00,00,00,00,00,00,00,00,00,03,0105030000000000000000000000000000000003,Register tetamu,subpages/formv1/formv1.php,subpages/formv1/formv1jabatan.dat,Blk2,Blk3,Blk4,Blk5,Blk6</v>
      </c>
    </row>
    <row r="102" spans="2:116" x14ac:dyDescent="0.25">
      <c r="B102">
        <f t="shared" si="205"/>
        <v>90</v>
      </c>
      <c r="F102" t="s">
        <v>103</v>
      </c>
      <c r="W102">
        <f t="shared" si="206"/>
        <v>0</v>
      </c>
      <c r="X102">
        <f t="shared" si="207"/>
        <v>0</v>
      </c>
      <c r="Y102">
        <f t="shared" si="208"/>
        <v>0</v>
      </c>
      <c r="Z102">
        <f t="shared" si="209"/>
        <v>1</v>
      </c>
      <c r="AA102">
        <f t="shared" si="210"/>
        <v>0</v>
      </c>
      <c r="AB102">
        <f t="shared" si="211"/>
        <v>0</v>
      </c>
      <c r="AC102">
        <f t="shared" si="212"/>
        <v>0</v>
      </c>
      <c r="AD102">
        <f t="shared" si="213"/>
        <v>0</v>
      </c>
      <c r="AE102">
        <f t="shared" si="214"/>
        <v>0</v>
      </c>
      <c r="AF102">
        <f t="shared" si="215"/>
        <v>0</v>
      </c>
      <c r="AG102">
        <f t="shared" si="216"/>
        <v>0</v>
      </c>
      <c r="AH102">
        <f t="shared" si="217"/>
        <v>0</v>
      </c>
      <c r="AI102">
        <f t="shared" si="218"/>
        <v>0</v>
      </c>
      <c r="AJ102">
        <f t="shared" si="219"/>
        <v>0</v>
      </c>
      <c r="AK102">
        <f t="shared" si="220"/>
        <v>0</v>
      </c>
      <c r="AL102">
        <f t="shared" si="221"/>
        <v>0</v>
      </c>
      <c r="AM102">
        <f t="shared" si="222"/>
        <v>0</v>
      </c>
      <c r="AN102">
        <f t="shared" si="223"/>
        <v>0</v>
      </c>
      <c r="AO102">
        <f t="shared" si="224"/>
        <v>0</v>
      </c>
      <c r="AP102" s="2" t="str">
        <f t="shared" si="160"/>
        <v/>
      </c>
      <c r="AQ102" t="str">
        <f t="shared" si="225"/>
        <v>S</v>
      </c>
      <c r="AR102" t="str">
        <f t="shared" si="226"/>
        <v>S</v>
      </c>
      <c r="AS102" t="str">
        <f t="shared" si="227"/>
        <v>S</v>
      </c>
      <c r="AT102">
        <f t="shared" si="228"/>
        <v>1</v>
      </c>
      <c r="AU102" t="str">
        <f t="shared" si="229"/>
        <v/>
      </c>
      <c r="AV102" t="str">
        <f t="shared" si="230"/>
        <v/>
      </c>
      <c r="AW102" t="str">
        <f t="shared" si="231"/>
        <v/>
      </c>
      <c r="AX102" t="str">
        <f t="shared" si="232"/>
        <v/>
      </c>
      <c r="AY102" t="str">
        <f t="shared" si="233"/>
        <v/>
      </c>
      <c r="AZ102" t="str">
        <f t="shared" si="234"/>
        <v/>
      </c>
      <c r="BA102" t="str">
        <f t="shared" si="235"/>
        <v/>
      </c>
      <c r="BB102" t="str">
        <f t="shared" si="236"/>
        <v/>
      </c>
      <c r="BC102" t="str">
        <f t="shared" si="237"/>
        <v/>
      </c>
      <c r="BD102" t="str">
        <f t="shared" si="238"/>
        <v/>
      </c>
      <c r="BE102" t="str">
        <f t="shared" si="239"/>
        <v/>
      </c>
      <c r="BF102" t="str">
        <f t="shared" si="240"/>
        <v/>
      </c>
      <c r="BG102" t="str">
        <f t="shared" si="241"/>
        <v/>
      </c>
      <c r="BH102" t="str">
        <f t="shared" si="242"/>
        <v/>
      </c>
      <c r="BI102" t="str">
        <f t="shared" si="243"/>
        <v/>
      </c>
      <c r="BK102">
        <f t="shared" si="161"/>
        <v>1</v>
      </c>
      <c r="BL102">
        <f t="shared" si="162"/>
        <v>5</v>
      </c>
      <c r="BM102">
        <f t="shared" si="163"/>
        <v>3</v>
      </c>
      <c r="BN102">
        <f t="shared" si="164"/>
        <v>1</v>
      </c>
      <c r="BO102">
        <f t="shared" si="165"/>
        <v>0</v>
      </c>
      <c r="BP102">
        <f t="shared" si="166"/>
        <v>0</v>
      </c>
      <c r="BQ102">
        <f t="shared" si="167"/>
        <v>0</v>
      </c>
      <c r="BR102">
        <f t="shared" si="168"/>
        <v>0</v>
      </c>
      <c r="BS102">
        <f t="shared" si="169"/>
        <v>0</v>
      </c>
      <c r="BT102">
        <f t="shared" si="170"/>
        <v>0</v>
      </c>
      <c r="BU102">
        <f t="shared" si="171"/>
        <v>0</v>
      </c>
      <c r="BV102">
        <f t="shared" si="172"/>
        <v>0</v>
      </c>
      <c r="BW102">
        <f t="shared" si="173"/>
        <v>0</v>
      </c>
      <c r="BX102">
        <f t="shared" si="174"/>
        <v>0</v>
      </c>
      <c r="BY102">
        <f t="shared" si="175"/>
        <v>0</v>
      </c>
      <c r="BZ102">
        <f t="shared" si="176"/>
        <v>0</v>
      </c>
      <c r="CA102">
        <f t="shared" si="177"/>
        <v>0</v>
      </c>
      <c r="CB102">
        <f t="shared" si="178"/>
        <v>0</v>
      </c>
      <c r="CC102">
        <f t="shared" si="179"/>
        <v>0</v>
      </c>
      <c r="CE102" t="str">
        <f t="shared" si="180"/>
        <v>090</v>
      </c>
      <c r="CF102" t="str">
        <f t="shared" si="181"/>
        <v>00</v>
      </c>
      <c r="CG102" t="str">
        <f t="shared" si="181"/>
        <v>00</v>
      </c>
      <c r="CH102" t="str">
        <f t="shared" si="181"/>
        <v>00</v>
      </c>
      <c r="CI102" t="str">
        <f t="shared" si="182"/>
        <v>01</v>
      </c>
      <c r="CJ102" t="str">
        <f t="shared" si="183"/>
        <v>05</v>
      </c>
      <c r="CK102" t="str">
        <f t="shared" si="184"/>
        <v>03</v>
      </c>
      <c r="CL102" t="str">
        <f t="shared" si="185"/>
        <v>01</v>
      </c>
      <c r="CM102" t="str">
        <f t="shared" si="186"/>
        <v>00</v>
      </c>
      <c r="CN102" t="str">
        <f t="shared" si="187"/>
        <v>00</v>
      </c>
      <c r="CO102" t="str">
        <f t="shared" si="188"/>
        <v>00</v>
      </c>
      <c r="CP102" t="str">
        <f t="shared" si="189"/>
        <v>00</v>
      </c>
      <c r="CQ102" t="str">
        <f t="shared" si="190"/>
        <v>00</v>
      </c>
      <c r="CR102" t="str">
        <f t="shared" si="191"/>
        <v>00</v>
      </c>
      <c r="CS102" t="str">
        <f t="shared" si="192"/>
        <v>00</v>
      </c>
      <c r="CT102" t="str">
        <f t="shared" si="193"/>
        <v>00</v>
      </c>
      <c r="CU102" t="str">
        <f t="shared" si="194"/>
        <v>00</v>
      </c>
      <c r="CV102" t="str">
        <f t="shared" si="195"/>
        <v>00</v>
      </c>
      <c r="CW102" t="str">
        <f t="shared" si="196"/>
        <v>00</v>
      </c>
      <c r="CX102" t="str">
        <f t="shared" si="197"/>
        <v>00</v>
      </c>
      <c r="CY102" t="str">
        <f t="shared" si="198"/>
        <v>00</v>
      </c>
      <c r="CZ102" t="str">
        <f t="shared" si="199"/>
        <v>00</v>
      </c>
      <c r="DA102" t="str">
        <f t="shared" si="200"/>
        <v>00</v>
      </c>
      <c r="DB102" t="str">
        <f t="shared" si="201"/>
        <v>04</v>
      </c>
      <c r="DC102" t="str">
        <f t="shared" si="202"/>
        <v>0105030100000000000000000000000000000004</v>
      </c>
      <c r="DD102" t="str">
        <f t="shared" si="203"/>
        <v>Register tetamu local</v>
      </c>
      <c r="DE102" t="s">
        <v>206</v>
      </c>
      <c r="DF102" t="s">
        <v>223</v>
      </c>
      <c r="DG102" t="s">
        <v>224</v>
      </c>
      <c r="DH102" t="s">
        <v>225</v>
      </c>
      <c r="DI102" t="s">
        <v>226</v>
      </c>
      <c r="DJ102" t="s">
        <v>227</v>
      </c>
      <c r="DK102" t="s">
        <v>228</v>
      </c>
      <c r="DL102" t="str">
        <f t="shared" si="204"/>
        <v>090,00,00,00,01,05,03,01,00,00,00,00,00,00,00,00,00,00,00,00,00,00,00,04,0105030100000000000000000000000000000004,Register tetamu local,file90,Blk1,Blk2,Blk3,Blk4,Blk5,Blk6</v>
      </c>
    </row>
    <row r="103" spans="2:116" x14ac:dyDescent="0.25">
      <c r="B103">
        <f t="shared" si="205"/>
        <v>91</v>
      </c>
      <c r="F103" t="s">
        <v>104</v>
      </c>
      <c r="W103">
        <f t="shared" si="206"/>
        <v>0</v>
      </c>
      <c r="X103">
        <f t="shared" si="207"/>
        <v>0</v>
      </c>
      <c r="Y103">
        <f t="shared" si="208"/>
        <v>0</v>
      </c>
      <c r="Z103">
        <f t="shared" si="209"/>
        <v>1</v>
      </c>
      <c r="AA103">
        <f t="shared" si="210"/>
        <v>0</v>
      </c>
      <c r="AB103">
        <f t="shared" si="211"/>
        <v>0</v>
      </c>
      <c r="AC103">
        <f t="shared" si="212"/>
        <v>0</v>
      </c>
      <c r="AD103">
        <f t="shared" si="213"/>
        <v>0</v>
      </c>
      <c r="AE103">
        <f t="shared" si="214"/>
        <v>0</v>
      </c>
      <c r="AF103">
        <f t="shared" si="215"/>
        <v>0</v>
      </c>
      <c r="AG103">
        <f t="shared" si="216"/>
        <v>0</v>
      </c>
      <c r="AH103">
        <f t="shared" si="217"/>
        <v>0</v>
      </c>
      <c r="AI103">
        <f t="shared" si="218"/>
        <v>0</v>
      </c>
      <c r="AJ103">
        <f t="shared" si="219"/>
        <v>0</v>
      </c>
      <c r="AK103">
        <f t="shared" si="220"/>
        <v>0</v>
      </c>
      <c r="AL103">
        <f t="shared" si="221"/>
        <v>0</v>
      </c>
      <c r="AM103">
        <f t="shared" si="222"/>
        <v>0</v>
      </c>
      <c r="AN103">
        <f t="shared" si="223"/>
        <v>0</v>
      </c>
      <c r="AO103">
        <f t="shared" si="224"/>
        <v>0</v>
      </c>
      <c r="AP103" s="2" t="str">
        <f t="shared" si="160"/>
        <v/>
      </c>
      <c r="AQ103" t="str">
        <f t="shared" si="225"/>
        <v>S</v>
      </c>
      <c r="AR103" t="str">
        <f t="shared" si="226"/>
        <v>S</v>
      </c>
      <c r="AS103" t="str">
        <f t="shared" si="227"/>
        <v>S</v>
      </c>
      <c r="AT103" t="str">
        <f t="shared" si="228"/>
        <v>+</v>
      </c>
      <c r="AU103" t="str">
        <f t="shared" si="229"/>
        <v/>
      </c>
      <c r="AV103" t="str">
        <f t="shared" si="230"/>
        <v/>
      </c>
      <c r="AW103" t="str">
        <f t="shared" si="231"/>
        <v/>
      </c>
      <c r="AX103" t="str">
        <f t="shared" si="232"/>
        <v/>
      </c>
      <c r="AY103" t="str">
        <f t="shared" si="233"/>
        <v/>
      </c>
      <c r="AZ103" t="str">
        <f t="shared" si="234"/>
        <v/>
      </c>
      <c r="BA103" t="str">
        <f t="shared" si="235"/>
        <v/>
      </c>
      <c r="BB103" t="str">
        <f t="shared" si="236"/>
        <v/>
      </c>
      <c r="BC103" t="str">
        <f t="shared" si="237"/>
        <v/>
      </c>
      <c r="BD103" t="str">
        <f t="shared" si="238"/>
        <v/>
      </c>
      <c r="BE103" t="str">
        <f t="shared" si="239"/>
        <v/>
      </c>
      <c r="BF103" t="str">
        <f t="shared" si="240"/>
        <v/>
      </c>
      <c r="BG103" t="str">
        <f t="shared" si="241"/>
        <v/>
      </c>
      <c r="BH103" t="str">
        <f t="shared" si="242"/>
        <v/>
      </c>
      <c r="BI103" t="str">
        <f t="shared" si="243"/>
        <v/>
      </c>
      <c r="BK103">
        <f t="shared" si="161"/>
        <v>1</v>
      </c>
      <c r="BL103">
        <f t="shared" si="162"/>
        <v>5</v>
      </c>
      <c r="BM103">
        <f t="shared" si="163"/>
        <v>3</v>
      </c>
      <c r="BN103">
        <f t="shared" si="164"/>
        <v>2</v>
      </c>
      <c r="BO103">
        <f t="shared" si="165"/>
        <v>0</v>
      </c>
      <c r="BP103">
        <f t="shared" si="166"/>
        <v>0</v>
      </c>
      <c r="BQ103">
        <f t="shared" si="167"/>
        <v>0</v>
      </c>
      <c r="BR103">
        <f t="shared" si="168"/>
        <v>0</v>
      </c>
      <c r="BS103">
        <f t="shared" si="169"/>
        <v>0</v>
      </c>
      <c r="BT103">
        <f t="shared" si="170"/>
        <v>0</v>
      </c>
      <c r="BU103">
        <f t="shared" si="171"/>
        <v>0</v>
      </c>
      <c r="BV103">
        <f t="shared" si="172"/>
        <v>0</v>
      </c>
      <c r="BW103">
        <f t="shared" si="173"/>
        <v>0</v>
      </c>
      <c r="BX103">
        <f t="shared" si="174"/>
        <v>0</v>
      </c>
      <c r="BY103">
        <f t="shared" si="175"/>
        <v>0</v>
      </c>
      <c r="BZ103">
        <f t="shared" si="176"/>
        <v>0</v>
      </c>
      <c r="CA103">
        <f t="shared" si="177"/>
        <v>0</v>
      </c>
      <c r="CB103">
        <f t="shared" si="178"/>
        <v>0</v>
      </c>
      <c r="CC103">
        <f t="shared" si="179"/>
        <v>0</v>
      </c>
      <c r="CE103" t="str">
        <f t="shared" si="180"/>
        <v>091</v>
      </c>
      <c r="CF103" t="str">
        <f t="shared" si="181"/>
        <v>00</v>
      </c>
      <c r="CG103" t="str">
        <f t="shared" si="181"/>
        <v>00</v>
      </c>
      <c r="CH103" t="str">
        <f t="shared" si="181"/>
        <v>00</v>
      </c>
      <c r="CI103" t="str">
        <f t="shared" si="182"/>
        <v>01</v>
      </c>
      <c r="CJ103" t="str">
        <f t="shared" si="183"/>
        <v>05</v>
      </c>
      <c r="CK103" t="str">
        <f t="shared" si="184"/>
        <v>03</v>
      </c>
      <c r="CL103" t="str">
        <f t="shared" si="185"/>
        <v>02</v>
      </c>
      <c r="CM103" t="str">
        <f t="shared" si="186"/>
        <v>00</v>
      </c>
      <c r="CN103" t="str">
        <f t="shared" si="187"/>
        <v>00</v>
      </c>
      <c r="CO103" t="str">
        <f t="shared" si="188"/>
        <v>00</v>
      </c>
      <c r="CP103" t="str">
        <f t="shared" si="189"/>
        <v>00</v>
      </c>
      <c r="CQ103" t="str">
        <f t="shared" si="190"/>
        <v>00</v>
      </c>
      <c r="CR103" t="str">
        <f t="shared" si="191"/>
        <v>00</v>
      </c>
      <c r="CS103" t="str">
        <f t="shared" si="192"/>
        <v>00</v>
      </c>
      <c r="CT103" t="str">
        <f t="shared" si="193"/>
        <v>00</v>
      </c>
      <c r="CU103" t="str">
        <f t="shared" si="194"/>
        <v>00</v>
      </c>
      <c r="CV103" t="str">
        <f t="shared" si="195"/>
        <v>00</v>
      </c>
      <c r="CW103" t="str">
        <f t="shared" si="196"/>
        <v>00</v>
      </c>
      <c r="CX103" t="str">
        <f t="shared" si="197"/>
        <v>00</v>
      </c>
      <c r="CY103" t="str">
        <f t="shared" si="198"/>
        <v>00</v>
      </c>
      <c r="CZ103" t="str">
        <f t="shared" si="199"/>
        <v>00</v>
      </c>
      <c r="DA103" t="str">
        <f t="shared" si="200"/>
        <v>00</v>
      </c>
      <c r="DB103" t="str">
        <f t="shared" si="201"/>
        <v>04</v>
      </c>
      <c r="DC103" t="str">
        <f t="shared" si="202"/>
        <v>0105030200000000000000000000000000000004</v>
      </c>
      <c r="DD103" t="str">
        <f t="shared" si="203"/>
        <v>Register tetamu Asia</v>
      </c>
      <c r="DE103" t="s">
        <v>207</v>
      </c>
      <c r="DF103" t="s">
        <v>223</v>
      </c>
      <c r="DG103" t="s">
        <v>224</v>
      </c>
      <c r="DH103" t="s">
        <v>225</v>
      </c>
      <c r="DI103" t="s">
        <v>226</v>
      </c>
      <c r="DJ103" t="s">
        <v>227</v>
      </c>
      <c r="DK103" t="s">
        <v>228</v>
      </c>
      <c r="DL103" t="str">
        <f t="shared" si="204"/>
        <v>091,00,00,00,01,05,03,02,00,00,00,00,00,00,00,00,00,00,00,00,00,00,00,04,0105030200000000000000000000000000000004,Register tetamu Asia,file91,Blk1,Blk2,Blk3,Blk4,Blk5,Blk6</v>
      </c>
    </row>
    <row r="104" spans="2:116" x14ac:dyDescent="0.25">
      <c r="B104">
        <f t="shared" si="205"/>
        <v>92</v>
      </c>
      <c r="F104" t="s">
        <v>105</v>
      </c>
      <c r="W104">
        <f t="shared" si="206"/>
        <v>0</v>
      </c>
      <c r="X104">
        <f t="shared" si="207"/>
        <v>0</v>
      </c>
      <c r="Y104">
        <f t="shared" si="208"/>
        <v>0</v>
      </c>
      <c r="Z104">
        <f t="shared" si="209"/>
        <v>1</v>
      </c>
      <c r="AA104">
        <f t="shared" si="210"/>
        <v>0</v>
      </c>
      <c r="AB104">
        <f t="shared" si="211"/>
        <v>0</v>
      </c>
      <c r="AC104">
        <f t="shared" si="212"/>
        <v>0</v>
      </c>
      <c r="AD104">
        <f t="shared" si="213"/>
        <v>0</v>
      </c>
      <c r="AE104">
        <f t="shared" si="214"/>
        <v>0</v>
      </c>
      <c r="AF104">
        <f t="shared" si="215"/>
        <v>0</v>
      </c>
      <c r="AG104">
        <f t="shared" si="216"/>
        <v>0</v>
      </c>
      <c r="AH104">
        <f t="shared" si="217"/>
        <v>0</v>
      </c>
      <c r="AI104">
        <f t="shared" si="218"/>
        <v>0</v>
      </c>
      <c r="AJ104">
        <f t="shared" si="219"/>
        <v>0</v>
      </c>
      <c r="AK104">
        <f t="shared" si="220"/>
        <v>0</v>
      </c>
      <c r="AL104">
        <f t="shared" si="221"/>
        <v>0</v>
      </c>
      <c r="AM104">
        <f t="shared" si="222"/>
        <v>0</v>
      </c>
      <c r="AN104">
        <f t="shared" si="223"/>
        <v>0</v>
      </c>
      <c r="AO104">
        <f t="shared" si="224"/>
        <v>0</v>
      </c>
      <c r="AP104" s="2" t="str">
        <f t="shared" si="160"/>
        <v/>
      </c>
      <c r="AQ104" t="str">
        <f t="shared" si="225"/>
        <v>S</v>
      </c>
      <c r="AR104" t="str">
        <f t="shared" si="226"/>
        <v>S</v>
      </c>
      <c r="AS104" t="str">
        <f t="shared" si="227"/>
        <v>S</v>
      </c>
      <c r="AT104" t="str">
        <f t="shared" si="228"/>
        <v>+</v>
      </c>
      <c r="AU104" t="str">
        <f t="shared" si="229"/>
        <v/>
      </c>
      <c r="AV104" t="str">
        <f t="shared" si="230"/>
        <v/>
      </c>
      <c r="AW104" t="str">
        <f t="shared" si="231"/>
        <v/>
      </c>
      <c r="AX104" t="str">
        <f t="shared" si="232"/>
        <v/>
      </c>
      <c r="AY104" t="str">
        <f t="shared" si="233"/>
        <v/>
      </c>
      <c r="AZ104" t="str">
        <f t="shared" si="234"/>
        <v/>
      </c>
      <c r="BA104" t="str">
        <f t="shared" si="235"/>
        <v/>
      </c>
      <c r="BB104" t="str">
        <f t="shared" si="236"/>
        <v/>
      </c>
      <c r="BC104" t="str">
        <f t="shared" si="237"/>
        <v/>
      </c>
      <c r="BD104" t="str">
        <f t="shared" si="238"/>
        <v/>
      </c>
      <c r="BE104" t="str">
        <f t="shared" si="239"/>
        <v/>
      </c>
      <c r="BF104" t="str">
        <f t="shared" si="240"/>
        <v/>
      </c>
      <c r="BG104" t="str">
        <f t="shared" si="241"/>
        <v/>
      </c>
      <c r="BH104" t="str">
        <f t="shared" si="242"/>
        <v/>
      </c>
      <c r="BI104" t="str">
        <f t="shared" si="243"/>
        <v/>
      </c>
      <c r="BK104">
        <f t="shared" si="161"/>
        <v>1</v>
      </c>
      <c r="BL104">
        <f t="shared" si="162"/>
        <v>5</v>
      </c>
      <c r="BM104">
        <f t="shared" si="163"/>
        <v>3</v>
      </c>
      <c r="BN104">
        <f t="shared" si="164"/>
        <v>3</v>
      </c>
      <c r="BO104">
        <f t="shared" si="165"/>
        <v>0</v>
      </c>
      <c r="BP104">
        <f t="shared" si="166"/>
        <v>0</v>
      </c>
      <c r="BQ104">
        <f t="shared" si="167"/>
        <v>0</v>
      </c>
      <c r="BR104">
        <f t="shared" si="168"/>
        <v>0</v>
      </c>
      <c r="BS104">
        <f t="shared" si="169"/>
        <v>0</v>
      </c>
      <c r="BT104">
        <f t="shared" si="170"/>
        <v>0</v>
      </c>
      <c r="BU104">
        <f t="shared" si="171"/>
        <v>0</v>
      </c>
      <c r="BV104">
        <f t="shared" si="172"/>
        <v>0</v>
      </c>
      <c r="BW104">
        <f t="shared" si="173"/>
        <v>0</v>
      </c>
      <c r="BX104">
        <f t="shared" si="174"/>
        <v>0</v>
      </c>
      <c r="BY104">
        <f t="shared" si="175"/>
        <v>0</v>
      </c>
      <c r="BZ104">
        <f t="shared" si="176"/>
        <v>0</v>
      </c>
      <c r="CA104">
        <f t="shared" si="177"/>
        <v>0</v>
      </c>
      <c r="CB104">
        <f t="shared" si="178"/>
        <v>0</v>
      </c>
      <c r="CC104">
        <f t="shared" si="179"/>
        <v>0</v>
      </c>
      <c r="CE104" t="str">
        <f t="shared" si="180"/>
        <v>092</v>
      </c>
      <c r="CF104" t="str">
        <f t="shared" si="181"/>
        <v>00</v>
      </c>
      <c r="CG104" t="str">
        <f t="shared" si="181"/>
        <v>00</v>
      </c>
      <c r="CH104" t="str">
        <f t="shared" si="181"/>
        <v>00</v>
      </c>
      <c r="CI104" t="str">
        <f t="shared" si="182"/>
        <v>01</v>
      </c>
      <c r="CJ104" t="str">
        <f t="shared" si="183"/>
        <v>05</v>
      </c>
      <c r="CK104" t="str">
        <f t="shared" si="184"/>
        <v>03</v>
      </c>
      <c r="CL104" t="str">
        <f t="shared" si="185"/>
        <v>03</v>
      </c>
      <c r="CM104" t="str">
        <f t="shared" si="186"/>
        <v>00</v>
      </c>
      <c r="CN104" t="str">
        <f t="shared" si="187"/>
        <v>00</v>
      </c>
      <c r="CO104" t="str">
        <f t="shared" si="188"/>
        <v>00</v>
      </c>
      <c r="CP104" t="str">
        <f t="shared" si="189"/>
        <v>00</v>
      </c>
      <c r="CQ104" t="str">
        <f t="shared" si="190"/>
        <v>00</v>
      </c>
      <c r="CR104" t="str">
        <f t="shared" si="191"/>
        <v>00</v>
      </c>
      <c r="CS104" t="str">
        <f t="shared" si="192"/>
        <v>00</v>
      </c>
      <c r="CT104" t="str">
        <f t="shared" si="193"/>
        <v>00</v>
      </c>
      <c r="CU104" t="str">
        <f t="shared" si="194"/>
        <v>00</v>
      </c>
      <c r="CV104" t="str">
        <f t="shared" si="195"/>
        <v>00</v>
      </c>
      <c r="CW104" t="str">
        <f t="shared" si="196"/>
        <v>00</v>
      </c>
      <c r="CX104" t="str">
        <f t="shared" si="197"/>
        <v>00</v>
      </c>
      <c r="CY104" t="str">
        <f t="shared" si="198"/>
        <v>00</v>
      </c>
      <c r="CZ104" t="str">
        <f t="shared" si="199"/>
        <v>00</v>
      </c>
      <c r="DA104" t="str">
        <f t="shared" si="200"/>
        <v>00</v>
      </c>
      <c r="DB104" t="str">
        <f t="shared" si="201"/>
        <v>04</v>
      </c>
      <c r="DC104" t="str">
        <f t="shared" si="202"/>
        <v>0105030300000000000000000000000000000004</v>
      </c>
      <c r="DD104" t="str">
        <f t="shared" si="203"/>
        <v>Register tetamu Eropah</v>
      </c>
      <c r="DE104" t="s">
        <v>208</v>
      </c>
      <c r="DF104" t="s">
        <v>223</v>
      </c>
      <c r="DG104" t="s">
        <v>224</v>
      </c>
      <c r="DH104" t="s">
        <v>225</v>
      </c>
      <c r="DI104" t="s">
        <v>226</v>
      </c>
      <c r="DJ104" t="s">
        <v>227</v>
      </c>
      <c r="DK104" t="s">
        <v>228</v>
      </c>
      <c r="DL104" t="str">
        <f t="shared" si="204"/>
        <v>092,00,00,00,01,05,03,03,00,00,00,00,00,00,00,00,00,00,00,00,00,00,00,04,0105030300000000000000000000000000000004,Register tetamu Eropah,file92,Blk1,Blk2,Blk3,Blk4,Blk5,Blk6</v>
      </c>
    </row>
    <row r="105" spans="2:116" x14ac:dyDescent="0.25">
      <c r="B105">
        <f t="shared" si="205"/>
        <v>93</v>
      </c>
      <c r="F105" t="s">
        <v>106</v>
      </c>
      <c r="W105">
        <f t="shared" si="206"/>
        <v>0</v>
      </c>
      <c r="X105">
        <f t="shared" si="207"/>
        <v>0</v>
      </c>
      <c r="Y105">
        <f t="shared" si="208"/>
        <v>0</v>
      </c>
      <c r="Z105">
        <f t="shared" si="209"/>
        <v>1</v>
      </c>
      <c r="AA105">
        <f t="shared" si="210"/>
        <v>0</v>
      </c>
      <c r="AB105">
        <f t="shared" si="211"/>
        <v>0</v>
      </c>
      <c r="AC105">
        <f t="shared" si="212"/>
        <v>0</v>
      </c>
      <c r="AD105">
        <f t="shared" si="213"/>
        <v>0</v>
      </c>
      <c r="AE105">
        <f t="shared" si="214"/>
        <v>0</v>
      </c>
      <c r="AF105">
        <f t="shared" si="215"/>
        <v>0</v>
      </c>
      <c r="AG105">
        <f t="shared" si="216"/>
        <v>0</v>
      </c>
      <c r="AH105">
        <f t="shared" si="217"/>
        <v>0</v>
      </c>
      <c r="AI105">
        <f t="shared" si="218"/>
        <v>0</v>
      </c>
      <c r="AJ105">
        <f t="shared" si="219"/>
        <v>0</v>
      </c>
      <c r="AK105">
        <f t="shared" si="220"/>
        <v>0</v>
      </c>
      <c r="AL105">
        <f t="shared" si="221"/>
        <v>0</v>
      </c>
      <c r="AM105">
        <f t="shared" si="222"/>
        <v>0</v>
      </c>
      <c r="AN105">
        <f t="shared" si="223"/>
        <v>0</v>
      </c>
      <c r="AO105">
        <f t="shared" si="224"/>
        <v>0</v>
      </c>
      <c r="AP105" s="2" t="str">
        <f t="shared" si="160"/>
        <v/>
      </c>
      <c r="AQ105" t="str">
        <f t="shared" si="225"/>
        <v>S</v>
      </c>
      <c r="AR105" t="str">
        <f t="shared" si="226"/>
        <v>S</v>
      </c>
      <c r="AS105" t="str">
        <f t="shared" si="227"/>
        <v>S</v>
      </c>
      <c r="AT105" t="str">
        <f t="shared" si="228"/>
        <v>+</v>
      </c>
      <c r="AU105" t="str">
        <f t="shared" si="229"/>
        <v/>
      </c>
      <c r="AV105" t="str">
        <f t="shared" si="230"/>
        <v/>
      </c>
      <c r="AW105" t="str">
        <f t="shared" si="231"/>
        <v/>
      </c>
      <c r="AX105" t="str">
        <f t="shared" si="232"/>
        <v/>
      </c>
      <c r="AY105" t="str">
        <f t="shared" si="233"/>
        <v/>
      </c>
      <c r="AZ105" t="str">
        <f t="shared" si="234"/>
        <v/>
      </c>
      <c r="BA105" t="str">
        <f t="shared" si="235"/>
        <v/>
      </c>
      <c r="BB105" t="str">
        <f t="shared" si="236"/>
        <v/>
      </c>
      <c r="BC105" t="str">
        <f t="shared" si="237"/>
        <v/>
      </c>
      <c r="BD105" t="str">
        <f t="shared" si="238"/>
        <v/>
      </c>
      <c r="BE105" t="str">
        <f t="shared" si="239"/>
        <v/>
      </c>
      <c r="BF105" t="str">
        <f t="shared" si="240"/>
        <v/>
      </c>
      <c r="BG105" t="str">
        <f t="shared" si="241"/>
        <v/>
      </c>
      <c r="BH105" t="str">
        <f t="shared" si="242"/>
        <v/>
      </c>
      <c r="BI105" t="str">
        <f t="shared" si="243"/>
        <v/>
      </c>
      <c r="BK105">
        <f t="shared" si="161"/>
        <v>1</v>
      </c>
      <c r="BL105">
        <f t="shared" si="162"/>
        <v>5</v>
      </c>
      <c r="BM105">
        <f t="shared" si="163"/>
        <v>3</v>
      </c>
      <c r="BN105">
        <f t="shared" si="164"/>
        <v>4</v>
      </c>
      <c r="BO105">
        <f t="shared" si="165"/>
        <v>0</v>
      </c>
      <c r="BP105">
        <f t="shared" si="166"/>
        <v>0</v>
      </c>
      <c r="BQ105">
        <f t="shared" si="167"/>
        <v>0</v>
      </c>
      <c r="BR105">
        <f t="shared" si="168"/>
        <v>0</v>
      </c>
      <c r="BS105">
        <f t="shared" si="169"/>
        <v>0</v>
      </c>
      <c r="BT105">
        <f t="shared" si="170"/>
        <v>0</v>
      </c>
      <c r="BU105">
        <f t="shared" si="171"/>
        <v>0</v>
      </c>
      <c r="BV105">
        <f t="shared" si="172"/>
        <v>0</v>
      </c>
      <c r="BW105">
        <f t="shared" si="173"/>
        <v>0</v>
      </c>
      <c r="BX105">
        <f t="shared" si="174"/>
        <v>0</v>
      </c>
      <c r="BY105">
        <f t="shared" si="175"/>
        <v>0</v>
      </c>
      <c r="BZ105">
        <f t="shared" si="176"/>
        <v>0</v>
      </c>
      <c r="CA105">
        <f t="shared" si="177"/>
        <v>0</v>
      </c>
      <c r="CB105">
        <f t="shared" si="178"/>
        <v>0</v>
      </c>
      <c r="CC105">
        <f t="shared" si="179"/>
        <v>0</v>
      </c>
      <c r="CE105" t="str">
        <f t="shared" si="180"/>
        <v>093</v>
      </c>
      <c r="CF105" t="str">
        <f t="shared" si="181"/>
        <v>00</v>
      </c>
      <c r="CG105" t="str">
        <f t="shared" si="181"/>
        <v>00</v>
      </c>
      <c r="CH105" t="str">
        <f t="shared" si="181"/>
        <v>00</v>
      </c>
      <c r="CI105" t="str">
        <f t="shared" si="182"/>
        <v>01</v>
      </c>
      <c r="CJ105" t="str">
        <f t="shared" si="183"/>
        <v>05</v>
      </c>
      <c r="CK105" t="str">
        <f t="shared" si="184"/>
        <v>03</v>
      </c>
      <c r="CL105" t="str">
        <f t="shared" si="185"/>
        <v>04</v>
      </c>
      <c r="CM105" t="str">
        <f t="shared" si="186"/>
        <v>00</v>
      </c>
      <c r="CN105" t="str">
        <f t="shared" si="187"/>
        <v>00</v>
      </c>
      <c r="CO105" t="str">
        <f t="shared" si="188"/>
        <v>00</v>
      </c>
      <c r="CP105" t="str">
        <f t="shared" si="189"/>
        <v>00</v>
      </c>
      <c r="CQ105" t="str">
        <f t="shared" si="190"/>
        <v>00</v>
      </c>
      <c r="CR105" t="str">
        <f t="shared" si="191"/>
        <v>00</v>
      </c>
      <c r="CS105" t="str">
        <f t="shared" si="192"/>
        <v>00</v>
      </c>
      <c r="CT105" t="str">
        <f t="shared" si="193"/>
        <v>00</v>
      </c>
      <c r="CU105" t="str">
        <f t="shared" si="194"/>
        <v>00</v>
      </c>
      <c r="CV105" t="str">
        <f t="shared" si="195"/>
        <v>00</v>
      </c>
      <c r="CW105" t="str">
        <f t="shared" si="196"/>
        <v>00</v>
      </c>
      <c r="CX105" t="str">
        <f t="shared" si="197"/>
        <v>00</v>
      </c>
      <c r="CY105" t="str">
        <f t="shared" si="198"/>
        <v>00</v>
      </c>
      <c r="CZ105" t="str">
        <f t="shared" si="199"/>
        <v>00</v>
      </c>
      <c r="DA105" t="str">
        <f t="shared" si="200"/>
        <v>00</v>
      </c>
      <c r="DB105" t="str">
        <f t="shared" si="201"/>
        <v>04</v>
      </c>
      <c r="DC105" t="str">
        <f t="shared" si="202"/>
        <v>0105030400000000000000000000000000000004</v>
      </c>
      <c r="DD105" t="str">
        <f t="shared" si="203"/>
        <v>Register tetamu Amarekaa</v>
      </c>
      <c r="DE105" t="s">
        <v>209</v>
      </c>
      <c r="DF105" t="s">
        <v>223</v>
      </c>
      <c r="DG105" t="s">
        <v>224</v>
      </c>
      <c r="DH105" t="s">
        <v>225</v>
      </c>
      <c r="DI105" t="s">
        <v>226</v>
      </c>
      <c r="DJ105" t="s">
        <v>227</v>
      </c>
      <c r="DK105" t="s">
        <v>228</v>
      </c>
      <c r="DL105" t="str">
        <f t="shared" si="204"/>
        <v>093,00,00,00,01,05,03,04,00,00,00,00,00,00,00,00,00,00,00,00,00,00,00,04,0105030400000000000000000000000000000004,Register tetamu Amarekaa,file93,Blk1,Blk2,Blk3,Blk4,Blk5,Blk6</v>
      </c>
    </row>
    <row r="106" spans="2:116" x14ac:dyDescent="0.25">
      <c r="B106">
        <f t="shared" si="205"/>
        <v>94</v>
      </c>
      <c r="D106" t="s">
        <v>107</v>
      </c>
      <c r="W106">
        <f t="shared" si="206"/>
        <v>0</v>
      </c>
      <c r="X106">
        <f t="shared" si="207"/>
        <v>1</v>
      </c>
      <c r="Y106">
        <f t="shared" si="208"/>
        <v>0</v>
      </c>
      <c r="Z106">
        <f t="shared" si="209"/>
        <v>0</v>
      </c>
      <c r="AA106">
        <f t="shared" si="210"/>
        <v>0</v>
      </c>
      <c r="AB106">
        <f t="shared" si="211"/>
        <v>0</v>
      </c>
      <c r="AC106">
        <f t="shared" si="212"/>
        <v>0</v>
      </c>
      <c r="AD106">
        <f t="shared" si="213"/>
        <v>0</v>
      </c>
      <c r="AE106">
        <f t="shared" si="214"/>
        <v>0</v>
      </c>
      <c r="AF106">
        <f t="shared" si="215"/>
        <v>0</v>
      </c>
      <c r="AG106">
        <f t="shared" si="216"/>
        <v>0</v>
      </c>
      <c r="AH106">
        <f t="shared" si="217"/>
        <v>0</v>
      </c>
      <c r="AI106">
        <f t="shared" si="218"/>
        <v>0</v>
      </c>
      <c r="AJ106">
        <f t="shared" si="219"/>
        <v>0</v>
      </c>
      <c r="AK106">
        <f t="shared" si="220"/>
        <v>0</v>
      </c>
      <c r="AL106">
        <f t="shared" si="221"/>
        <v>0</v>
      </c>
      <c r="AM106">
        <f t="shared" si="222"/>
        <v>0</v>
      </c>
      <c r="AN106">
        <f t="shared" si="223"/>
        <v>0</v>
      </c>
      <c r="AO106">
        <f t="shared" si="224"/>
        <v>0</v>
      </c>
      <c r="AP106" s="2" t="str">
        <f t="shared" si="160"/>
        <v/>
      </c>
      <c r="AQ106" t="str">
        <f t="shared" si="225"/>
        <v>S</v>
      </c>
      <c r="AR106" t="str">
        <f t="shared" si="226"/>
        <v>+</v>
      </c>
      <c r="AS106" t="str">
        <f t="shared" si="227"/>
        <v/>
      </c>
      <c r="AT106" t="str">
        <f t="shared" si="228"/>
        <v/>
      </c>
      <c r="AU106" t="str">
        <f t="shared" si="229"/>
        <v/>
      </c>
      <c r="AV106" t="str">
        <f t="shared" si="230"/>
        <v/>
      </c>
      <c r="AW106" t="str">
        <f t="shared" si="231"/>
        <v/>
      </c>
      <c r="AX106" t="str">
        <f t="shared" si="232"/>
        <v/>
      </c>
      <c r="AY106" t="str">
        <f t="shared" si="233"/>
        <v/>
      </c>
      <c r="AZ106" t="str">
        <f t="shared" si="234"/>
        <v/>
      </c>
      <c r="BA106" t="str">
        <f t="shared" si="235"/>
        <v/>
      </c>
      <c r="BB106" t="str">
        <f t="shared" si="236"/>
        <v/>
      </c>
      <c r="BC106" t="str">
        <f t="shared" si="237"/>
        <v/>
      </c>
      <c r="BD106" t="str">
        <f t="shared" si="238"/>
        <v/>
      </c>
      <c r="BE106" t="str">
        <f t="shared" si="239"/>
        <v/>
      </c>
      <c r="BF106" t="str">
        <f t="shared" si="240"/>
        <v/>
      </c>
      <c r="BG106" t="str">
        <f t="shared" si="241"/>
        <v/>
      </c>
      <c r="BH106" t="str">
        <f t="shared" si="242"/>
        <v/>
      </c>
      <c r="BI106" t="str">
        <f t="shared" si="243"/>
        <v/>
      </c>
      <c r="BK106">
        <f t="shared" si="161"/>
        <v>1</v>
      </c>
      <c r="BL106">
        <f t="shared" si="162"/>
        <v>6</v>
      </c>
      <c r="BM106">
        <f t="shared" si="163"/>
        <v>0</v>
      </c>
      <c r="BN106">
        <f t="shared" si="164"/>
        <v>0</v>
      </c>
      <c r="BO106">
        <f t="shared" si="165"/>
        <v>0</v>
      </c>
      <c r="BP106">
        <f t="shared" si="166"/>
        <v>0</v>
      </c>
      <c r="BQ106">
        <f t="shared" si="167"/>
        <v>0</v>
      </c>
      <c r="BR106">
        <f t="shared" si="168"/>
        <v>0</v>
      </c>
      <c r="BS106">
        <f t="shared" si="169"/>
        <v>0</v>
      </c>
      <c r="BT106">
        <f t="shared" si="170"/>
        <v>0</v>
      </c>
      <c r="BU106">
        <f t="shared" si="171"/>
        <v>0</v>
      </c>
      <c r="BV106">
        <f t="shared" si="172"/>
        <v>0</v>
      </c>
      <c r="BW106">
        <f t="shared" si="173"/>
        <v>0</v>
      </c>
      <c r="BX106">
        <f t="shared" si="174"/>
        <v>0</v>
      </c>
      <c r="BY106">
        <f t="shared" si="175"/>
        <v>0</v>
      </c>
      <c r="BZ106">
        <f t="shared" si="176"/>
        <v>0</v>
      </c>
      <c r="CA106">
        <f t="shared" si="177"/>
        <v>0</v>
      </c>
      <c r="CB106">
        <f t="shared" si="178"/>
        <v>0</v>
      </c>
      <c r="CC106">
        <f t="shared" si="179"/>
        <v>0</v>
      </c>
      <c r="CE106" t="str">
        <f t="shared" si="180"/>
        <v>094</v>
      </c>
      <c r="CF106" t="str">
        <f t="shared" si="181"/>
        <v>00</v>
      </c>
      <c r="CG106" t="str">
        <f t="shared" si="181"/>
        <v>00</v>
      </c>
      <c r="CH106" t="str">
        <f t="shared" si="181"/>
        <v>00</v>
      </c>
      <c r="CI106" t="str">
        <f t="shared" si="182"/>
        <v>01</v>
      </c>
      <c r="CJ106" t="str">
        <f t="shared" si="183"/>
        <v>06</v>
      </c>
      <c r="CK106" t="str">
        <f t="shared" si="184"/>
        <v>00</v>
      </c>
      <c r="CL106" t="str">
        <f t="shared" si="185"/>
        <v>00</v>
      </c>
      <c r="CM106" t="str">
        <f t="shared" si="186"/>
        <v>00</v>
      </c>
      <c r="CN106" t="str">
        <f t="shared" si="187"/>
        <v>00</v>
      </c>
      <c r="CO106" t="str">
        <f t="shared" si="188"/>
        <v>00</v>
      </c>
      <c r="CP106" t="str">
        <f t="shared" si="189"/>
        <v>00</v>
      </c>
      <c r="CQ106" t="str">
        <f t="shared" si="190"/>
        <v>00</v>
      </c>
      <c r="CR106" t="str">
        <f t="shared" si="191"/>
        <v>00</v>
      </c>
      <c r="CS106" t="str">
        <f t="shared" si="192"/>
        <v>00</v>
      </c>
      <c r="CT106" t="str">
        <f t="shared" si="193"/>
        <v>00</v>
      </c>
      <c r="CU106" t="str">
        <f t="shared" si="194"/>
        <v>00</v>
      </c>
      <c r="CV106" t="str">
        <f t="shared" si="195"/>
        <v>00</v>
      </c>
      <c r="CW106" t="str">
        <f t="shared" si="196"/>
        <v>00</v>
      </c>
      <c r="CX106" t="str">
        <f t="shared" si="197"/>
        <v>00</v>
      </c>
      <c r="CY106" t="str">
        <f t="shared" si="198"/>
        <v>00</v>
      </c>
      <c r="CZ106" t="str">
        <f t="shared" si="199"/>
        <v>00</v>
      </c>
      <c r="DA106" t="str">
        <f t="shared" si="200"/>
        <v>00</v>
      </c>
      <c r="DB106" t="str">
        <f t="shared" si="201"/>
        <v>02</v>
      </c>
      <c r="DC106" t="str">
        <f t="shared" si="202"/>
        <v>0106000000000000000000000000000000000002</v>
      </c>
      <c r="DD106" t="str">
        <f t="shared" si="203"/>
        <v>Administration</v>
      </c>
      <c r="DE106" t="s">
        <v>210</v>
      </c>
      <c r="DF106" t="s">
        <v>223</v>
      </c>
      <c r="DG106" t="s">
        <v>224</v>
      </c>
      <c r="DH106" t="s">
        <v>225</v>
      </c>
      <c r="DI106" t="s">
        <v>226</v>
      </c>
      <c r="DJ106" t="s">
        <v>227</v>
      </c>
      <c r="DK106" t="s">
        <v>228</v>
      </c>
      <c r="DL106" t="str">
        <f t="shared" si="204"/>
        <v>094,00,00,00,01,06,00,00,00,00,00,00,00,00,00,00,00,00,00,00,00,00,00,02,0106000000000000000000000000000000000002,Administration,file94,Blk1,Blk2,Blk3,Blk4,Blk5,Blk6</v>
      </c>
    </row>
    <row r="107" spans="2:116" x14ac:dyDescent="0.25">
      <c r="B107">
        <f t="shared" si="205"/>
        <v>95</v>
      </c>
      <c r="E107" t="s">
        <v>108</v>
      </c>
      <c r="W107">
        <f t="shared" si="206"/>
        <v>0</v>
      </c>
      <c r="X107">
        <f t="shared" si="207"/>
        <v>0</v>
      </c>
      <c r="Y107">
        <f t="shared" si="208"/>
        <v>1</v>
      </c>
      <c r="Z107">
        <f t="shared" si="209"/>
        <v>0</v>
      </c>
      <c r="AA107">
        <f t="shared" si="210"/>
        <v>0</v>
      </c>
      <c r="AB107">
        <f t="shared" si="211"/>
        <v>0</v>
      </c>
      <c r="AC107">
        <f t="shared" si="212"/>
        <v>0</v>
      </c>
      <c r="AD107">
        <f t="shared" si="213"/>
        <v>0</v>
      </c>
      <c r="AE107">
        <f t="shared" si="214"/>
        <v>0</v>
      </c>
      <c r="AF107">
        <f t="shared" si="215"/>
        <v>0</v>
      </c>
      <c r="AG107">
        <f t="shared" si="216"/>
        <v>0</v>
      </c>
      <c r="AH107">
        <f t="shared" si="217"/>
        <v>0</v>
      </c>
      <c r="AI107">
        <f t="shared" si="218"/>
        <v>0</v>
      </c>
      <c r="AJ107">
        <f t="shared" si="219"/>
        <v>0</v>
      </c>
      <c r="AK107">
        <f t="shared" si="220"/>
        <v>0</v>
      </c>
      <c r="AL107">
        <f t="shared" si="221"/>
        <v>0</v>
      </c>
      <c r="AM107">
        <f t="shared" si="222"/>
        <v>0</v>
      </c>
      <c r="AN107">
        <f t="shared" si="223"/>
        <v>0</v>
      </c>
      <c r="AO107">
        <f t="shared" si="224"/>
        <v>0</v>
      </c>
      <c r="AP107" s="2" t="str">
        <f t="shared" si="160"/>
        <v/>
      </c>
      <c r="AQ107" t="str">
        <f t="shared" si="225"/>
        <v>S</v>
      </c>
      <c r="AR107" t="str">
        <f t="shared" si="226"/>
        <v>S</v>
      </c>
      <c r="AS107">
        <f t="shared" si="227"/>
        <v>1</v>
      </c>
      <c r="AT107" t="str">
        <f t="shared" si="228"/>
        <v/>
      </c>
      <c r="AU107" t="str">
        <f t="shared" si="229"/>
        <v/>
      </c>
      <c r="AV107" t="str">
        <f t="shared" si="230"/>
        <v/>
      </c>
      <c r="AW107" t="str">
        <f t="shared" si="231"/>
        <v/>
      </c>
      <c r="AX107" t="str">
        <f t="shared" si="232"/>
        <v/>
      </c>
      <c r="AY107" t="str">
        <f t="shared" si="233"/>
        <v/>
      </c>
      <c r="AZ107" t="str">
        <f t="shared" si="234"/>
        <v/>
      </c>
      <c r="BA107" t="str">
        <f t="shared" si="235"/>
        <v/>
      </c>
      <c r="BB107" t="str">
        <f t="shared" si="236"/>
        <v/>
      </c>
      <c r="BC107" t="str">
        <f t="shared" si="237"/>
        <v/>
      </c>
      <c r="BD107" t="str">
        <f t="shared" si="238"/>
        <v/>
      </c>
      <c r="BE107" t="str">
        <f t="shared" si="239"/>
        <v/>
      </c>
      <c r="BF107" t="str">
        <f t="shared" si="240"/>
        <v/>
      </c>
      <c r="BG107" t="str">
        <f t="shared" si="241"/>
        <v/>
      </c>
      <c r="BH107" t="str">
        <f t="shared" si="242"/>
        <v/>
      </c>
      <c r="BI107" t="str">
        <f t="shared" si="243"/>
        <v/>
      </c>
      <c r="BK107">
        <f t="shared" si="161"/>
        <v>1</v>
      </c>
      <c r="BL107">
        <f t="shared" si="162"/>
        <v>6</v>
      </c>
      <c r="BM107">
        <f t="shared" si="163"/>
        <v>1</v>
      </c>
      <c r="BN107">
        <f t="shared" si="164"/>
        <v>0</v>
      </c>
      <c r="BO107">
        <f t="shared" si="165"/>
        <v>0</v>
      </c>
      <c r="BP107">
        <f t="shared" si="166"/>
        <v>0</v>
      </c>
      <c r="BQ107">
        <f t="shared" si="167"/>
        <v>0</v>
      </c>
      <c r="BR107">
        <f t="shared" si="168"/>
        <v>0</v>
      </c>
      <c r="BS107">
        <f t="shared" si="169"/>
        <v>0</v>
      </c>
      <c r="BT107">
        <f t="shared" si="170"/>
        <v>0</v>
      </c>
      <c r="BU107">
        <f t="shared" si="171"/>
        <v>0</v>
      </c>
      <c r="BV107">
        <f t="shared" si="172"/>
        <v>0</v>
      </c>
      <c r="BW107">
        <f t="shared" si="173"/>
        <v>0</v>
      </c>
      <c r="BX107">
        <f t="shared" si="174"/>
        <v>0</v>
      </c>
      <c r="BY107">
        <f t="shared" si="175"/>
        <v>0</v>
      </c>
      <c r="BZ107">
        <f t="shared" si="176"/>
        <v>0</v>
      </c>
      <c r="CA107">
        <f t="shared" si="177"/>
        <v>0</v>
      </c>
      <c r="CB107">
        <f t="shared" si="178"/>
        <v>0</v>
      </c>
      <c r="CC107">
        <f t="shared" si="179"/>
        <v>0</v>
      </c>
      <c r="CE107" t="str">
        <f t="shared" si="180"/>
        <v>095</v>
      </c>
      <c r="CF107" t="str">
        <f t="shared" si="181"/>
        <v>00</v>
      </c>
      <c r="CG107" t="str">
        <f t="shared" si="181"/>
        <v>00</v>
      </c>
      <c r="CH107" t="str">
        <f t="shared" si="181"/>
        <v>00</v>
      </c>
      <c r="CI107" t="str">
        <f t="shared" si="182"/>
        <v>01</v>
      </c>
      <c r="CJ107" t="str">
        <f t="shared" si="183"/>
        <v>06</v>
      </c>
      <c r="CK107" t="str">
        <f t="shared" si="184"/>
        <v>01</v>
      </c>
      <c r="CL107" t="str">
        <f t="shared" si="185"/>
        <v>00</v>
      </c>
      <c r="CM107" t="str">
        <f t="shared" si="186"/>
        <v>00</v>
      </c>
      <c r="CN107" t="str">
        <f t="shared" si="187"/>
        <v>00</v>
      </c>
      <c r="CO107" t="str">
        <f t="shared" si="188"/>
        <v>00</v>
      </c>
      <c r="CP107" t="str">
        <f t="shared" si="189"/>
        <v>00</v>
      </c>
      <c r="CQ107" t="str">
        <f t="shared" si="190"/>
        <v>00</v>
      </c>
      <c r="CR107" t="str">
        <f t="shared" si="191"/>
        <v>00</v>
      </c>
      <c r="CS107" t="str">
        <f t="shared" si="192"/>
        <v>00</v>
      </c>
      <c r="CT107" t="str">
        <f t="shared" si="193"/>
        <v>00</v>
      </c>
      <c r="CU107" t="str">
        <f t="shared" si="194"/>
        <v>00</v>
      </c>
      <c r="CV107" t="str">
        <f t="shared" si="195"/>
        <v>00</v>
      </c>
      <c r="CW107" t="str">
        <f t="shared" si="196"/>
        <v>00</v>
      </c>
      <c r="CX107" t="str">
        <f t="shared" si="197"/>
        <v>00</v>
      </c>
      <c r="CY107" t="str">
        <f t="shared" si="198"/>
        <v>00</v>
      </c>
      <c r="CZ107" t="str">
        <f t="shared" si="199"/>
        <v>00</v>
      </c>
      <c r="DA107" t="str">
        <f t="shared" si="200"/>
        <v>00</v>
      </c>
      <c r="DB107" t="str">
        <f t="shared" si="201"/>
        <v>03</v>
      </c>
      <c r="DC107" t="str">
        <f t="shared" si="202"/>
        <v>0106010000000000000000000000000000000003</v>
      </c>
      <c r="DD107" t="str">
        <f t="shared" si="203"/>
        <v>Daftar user</v>
      </c>
      <c r="DE107" t="s">
        <v>211</v>
      </c>
      <c r="DF107" t="s">
        <v>223</v>
      </c>
      <c r="DG107" t="s">
        <v>224</v>
      </c>
      <c r="DH107" t="s">
        <v>225</v>
      </c>
      <c r="DI107" t="s">
        <v>226</v>
      </c>
      <c r="DJ107" t="s">
        <v>227</v>
      </c>
      <c r="DK107" t="s">
        <v>228</v>
      </c>
      <c r="DL107" t="str">
        <f t="shared" si="204"/>
        <v>095,00,00,00,01,06,01,00,00,00,00,00,00,00,00,00,00,00,00,00,00,00,00,03,0106010000000000000000000000000000000003,Daftar user,file95,Blk1,Blk2,Blk3,Blk4,Blk5,Blk6</v>
      </c>
    </row>
    <row r="108" spans="2:116" x14ac:dyDescent="0.25">
      <c r="B108">
        <f t="shared" si="205"/>
        <v>96</v>
      </c>
      <c r="F108" t="s">
        <v>111</v>
      </c>
      <c r="W108">
        <f t="shared" si="206"/>
        <v>0</v>
      </c>
      <c r="X108">
        <f t="shared" si="207"/>
        <v>0</v>
      </c>
      <c r="Y108">
        <f t="shared" si="208"/>
        <v>0</v>
      </c>
      <c r="Z108">
        <f t="shared" si="209"/>
        <v>1</v>
      </c>
      <c r="AA108">
        <f t="shared" si="210"/>
        <v>0</v>
      </c>
      <c r="AB108">
        <f t="shared" si="211"/>
        <v>0</v>
      </c>
      <c r="AC108">
        <f t="shared" si="212"/>
        <v>0</v>
      </c>
      <c r="AD108">
        <f t="shared" si="213"/>
        <v>0</v>
      </c>
      <c r="AE108">
        <f t="shared" si="214"/>
        <v>0</v>
      </c>
      <c r="AF108">
        <f t="shared" si="215"/>
        <v>0</v>
      </c>
      <c r="AG108">
        <f t="shared" si="216"/>
        <v>0</v>
      </c>
      <c r="AH108">
        <f t="shared" si="217"/>
        <v>0</v>
      </c>
      <c r="AI108">
        <f t="shared" si="218"/>
        <v>0</v>
      </c>
      <c r="AJ108">
        <f t="shared" si="219"/>
        <v>0</v>
      </c>
      <c r="AK108">
        <f t="shared" si="220"/>
        <v>0</v>
      </c>
      <c r="AL108">
        <f t="shared" si="221"/>
        <v>0</v>
      </c>
      <c r="AM108">
        <f t="shared" si="222"/>
        <v>0</v>
      </c>
      <c r="AN108">
        <f t="shared" si="223"/>
        <v>0</v>
      </c>
      <c r="AO108">
        <f t="shared" si="224"/>
        <v>0</v>
      </c>
      <c r="AP108" s="2" t="str">
        <f t="shared" si="160"/>
        <v/>
      </c>
      <c r="AQ108" t="str">
        <f t="shared" si="225"/>
        <v>S</v>
      </c>
      <c r="AR108" t="str">
        <f t="shared" si="226"/>
        <v>S</v>
      </c>
      <c r="AS108" t="str">
        <f t="shared" si="227"/>
        <v>S</v>
      </c>
      <c r="AT108">
        <f t="shared" si="228"/>
        <v>1</v>
      </c>
      <c r="AU108" t="str">
        <f t="shared" si="229"/>
        <v/>
      </c>
      <c r="AV108" t="str">
        <f t="shared" si="230"/>
        <v/>
      </c>
      <c r="AW108" t="str">
        <f t="shared" si="231"/>
        <v/>
      </c>
      <c r="AX108" t="str">
        <f t="shared" si="232"/>
        <v/>
      </c>
      <c r="AY108" t="str">
        <f t="shared" si="233"/>
        <v/>
      </c>
      <c r="AZ108" t="str">
        <f t="shared" si="234"/>
        <v/>
      </c>
      <c r="BA108" t="str">
        <f t="shared" si="235"/>
        <v/>
      </c>
      <c r="BB108" t="str">
        <f t="shared" si="236"/>
        <v/>
      </c>
      <c r="BC108" t="str">
        <f t="shared" si="237"/>
        <v/>
      </c>
      <c r="BD108" t="str">
        <f t="shared" si="238"/>
        <v/>
      </c>
      <c r="BE108" t="str">
        <f t="shared" si="239"/>
        <v/>
      </c>
      <c r="BF108" t="str">
        <f t="shared" si="240"/>
        <v/>
      </c>
      <c r="BG108" t="str">
        <f t="shared" si="241"/>
        <v/>
      </c>
      <c r="BH108" t="str">
        <f t="shared" si="242"/>
        <v/>
      </c>
      <c r="BI108" t="str">
        <f t="shared" si="243"/>
        <v/>
      </c>
      <c r="BK108">
        <f t="shared" si="161"/>
        <v>1</v>
      </c>
      <c r="BL108">
        <f t="shared" si="162"/>
        <v>6</v>
      </c>
      <c r="BM108">
        <f t="shared" si="163"/>
        <v>1</v>
      </c>
      <c r="BN108">
        <f t="shared" si="164"/>
        <v>1</v>
      </c>
      <c r="BO108">
        <f t="shared" si="165"/>
        <v>0</v>
      </c>
      <c r="BP108">
        <f t="shared" si="166"/>
        <v>0</v>
      </c>
      <c r="BQ108">
        <f t="shared" si="167"/>
        <v>0</v>
      </c>
      <c r="BR108">
        <f t="shared" si="168"/>
        <v>0</v>
      </c>
      <c r="BS108">
        <f t="shared" si="169"/>
        <v>0</v>
      </c>
      <c r="BT108">
        <f t="shared" si="170"/>
        <v>0</v>
      </c>
      <c r="BU108">
        <f t="shared" si="171"/>
        <v>0</v>
      </c>
      <c r="BV108">
        <f t="shared" si="172"/>
        <v>0</v>
      </c>
      <c r="BW108">
        <f t="shared" si="173"/>
        <v>0</v>
      </c>
      <c r="BX108">
        <f t="shared" si="174"/>
        <v>0</v>
      </c>
      <c r="BY108">
        <f t="shared" si="175"/>
        <v>0</v>
      </c>
      <c r="BZ108">
        <f t="shared" si="176"/>
        <v>0</v>
      </c>
      <c r="CA108">
        <f t="shared" si="177"/>
        <v>0</v>
      </c>
      <c r="CB108">
        <f t="shared" si="178"/>
        <v>0</v>
      </c>
      <c r="CC108">
        <f t="shared" si="179"/>
        <v>0</v>
      </c>
      <c r="CE108" t="str">
        <f t="shared" si="180"/>
        <v>096</v>
      </c>
      <c r="CF108" t="str">
        <f t="shared" si="181"/>
        <v>00</v>
      </c>
      <c r="CG108" t="str">
        <f t="shared" si="181"/>
        <v>00</v>
      </c>
      <c r="CH108" t="str">
        <f t="shared" si="181"/>
        <v>00</v>
      </c>
      <c r="CI108" t="str">
        <f t="shared" si="182"/>
        <v>01</v>
      </c>
      <c r="CJ108" t="str">
        <f t="shared" si="183"/>
        <v>06</v>
      </c>
      <c r="CK108" t="str">
        <f t="shared" si="184"/>
        <v>01</v>
      </c>
      <c r="CL108" t="str">
        <f t="shared" si="185"/>
        <v>01</v>
      </c>
      <c r="CM108" t="str">
        <f t="shared" si="186"/>
        <v>00</v>
      </c>
      <c r="CN108" t="str">
        <f t="shared" si="187"/>
        <v>00</v>
      </c>
      <c r="CO108" t="str">
        <f t="shared" si="188"/>
        <v>00</v>
      </c>
      <c r="CP108" t="str">
        <f t="shared" si="189"/>
        <v>00</v>
      </c>
      <c r="CQ108" t="str">
        <f t="shared" si="190"/>
        <v>00</v>
      </c>
      <c r="CR108" t="str">
        <f t="shared" si="191"/>
        <v>00</v>
      </c>
      <c r="CS108" t="str">
        <f t="shared" si="192"/>
        <v>00</v>
      </c>
      <c r="CT108" t="str">
        <f t="shared" si="193"/>
        <v>00</v>
      </c>
      <c r="CU108" t="str">
        <f t="shared" si="194"/>
        <v>00</v>
      </c>
      <c r="CV108" t="str">
        <f t="shared" si="195"/>
        <v>00</v>
      </c>
      <c r="CW108" t="str">
        <f t="shared" si="196"/>
        <v>00</v>
      </c>
      <c r="CX108" t="str">
        <f t="shared" si="197"/>
        <v>00</v>
      </c>
      <c r="CY108" t="str">
        <f t="shared" si="198"/>
        <v>00</v>
      </c>
      <c r="CZ108" t="str">
        <f t="shared" si="199"/>
        <v>00</v>
      </c>
      <c r="DA108" t="str">
        <f t="shared" si="200"/>
        <v>00</v>
      </c>
      <c r="DB108" t="str">
        <f t="shared" si="201"/>
        <v>04</v>
      </c>
      <c r="DC108" t="str">
        <f t="shared" si="202"/>
        <v>0106010100000000000000000000000000000004</v>
      </c>
      <c r="DD108" t="str">
        <f t="shared" si="203"/>
        <v>Daftar user baru</v>
      </c>
      <c r="DE108" t="s">
        <v>212</v>
      </c>
      <c r="DF108" t="s">
        <v>223</v>
      </c>
      <c r="DG108" t="s">
        <v>224</v>
      </c>
      <c r="DH108" t="s">
        <v>225</v>
      </c>
      <c r="DI108" t="s">
        <v>226</v>
      </c>
      <c r="DJ108" t="s">
        <v>227</v>
      </c>
      <c r="DK108" t="s">
        <v>228</v>
      </c>
      <c r="DL108" t="str">
        <f t="shared" si="204"/>
        <v>096,00,00,00,01,06,01,01,00,00,00,00,00,00,00,00,00,00,00,00,00,00,00,04,0106010100000000000000000000000000000004,Daftar user baru,file96,Blk1,Blk2,Blk3,Blk4,Blk5,Blk6</v>
      </c>
    </row>
    <row r="109" spans="2:116" x14ac:dyDescent="0.25">
      <c r="B109">
        <f t="shared" si="205"/>
        <v>97</v>
      </c>
      <c r="F109" t="s">
        <v>112</v>
      </c>
      <c r="W109">
        <f t="shared" si="206"/>
        <v>0</v>
      </c>
      <c r="X109">
        <f t="shared" si="207"/>
        <v>0</v>
      </c>
      <c r="Y109">
        <f t="shared" si="208"/>
        <v>0</v>
      </c>
      <c r="Z109">
        <f t="shared" si="209"/>
        <v>1</v>
      </c>
      <c r="AA109">
        <f t="shared" si="210"/>
        <v>0</v>
      </c>
      <c r="AB109">
        <f t="shared" si="211"/>
        <v>0</v>
      </c>
      <c r="AC109">
        <f t="shared" si="212"/>
        <v>0</v>
      </c>
      <c r="AD109">
        <f t="shared" si="213"/>
        <v>0</v>
      </c>
      <c r="AE109">
        <f t="shared" si="214"/>
        <v>0</v>
      </c>
      <c r="AF109">
        <f t="shared" si="215"/>
        <v>0</v>
      </c>
      <c r="AG109">
        <f t="shared" si="216"/>
        <v>0</v>
      </c>
      <c r="AH109">
        <f t="shared" si="217"/>
        <v>0</v>
      </c>
      <c r="AI109">
        <f t="shared" si="218"/>
        <v>0</v>
      </c>
      <c r="AJ109">
        <f t="shared" si="219"/>
        <v>0</v>
      </c>
      <c r="AK109">
        <f t="shared" si="220"/>
        <v>0</v>
      </c>
      <c r="AL109">
        <f t="shared" si="221"/>
        <v>0</v>
      </c>
      <c r="AM109">
        <f t="shared" si="222"/>
        <v>0</v>
      </c>
      <c r="AN109">
        <f t="shared" si="223"/>
        <v>0</v>
      </c>
      <c r="AO109">
        <f t="shared" si="224"/>
        <v>0</v>
      </c>
      <c r="AP109" s="2" t="str">
        <f t="shared" si="160"/>
        <v/>
      </c>
      <c r="AQ109" t="str">
        <f t="shared" si="225"/>
        <v>S</v>
      </c>
      <c r="AR109" t="str">
        <f t="shared" si="226"/>
        <v>S</v>
      </c>
      <c r="AS109" t="str">
        <f t="shared" si="227"/>
        <v>S</v>
      </c>
      <c r="AT109" t="str">
        <f t="shared" si="228"/>
        <v>+</v>
      </c>
      <c r="AU109" t="str">
        <f t="shared" si="229"/>
        <v/>
      </c>
      <c r="AV109" t="str">
        <f t="shared" si="230"/>
        <v/>
      </c>
      <c r="AW109" t="str">
        <f t="shared" si="231"/>
        <v/>
      </c>
      <c r="AX109" t="str">
        <f t="shared" si="232"/>
        <v/>
      </c>
      <c r="AY109" t="str">
        <f t="shared" si="233"/>
        <v/>
      </c>
      <c r="AZ109" t="str">
        <f t="shared" si="234"/>
        <v/>
      </c>
      <c r="BA109" t="str">
        <f t="shared" si="235"/>
        <v/>
      </c>
      <c r="BB109" t="str">
        <f t="shared" si="236"/>
        <v/>
      </c>
      <c r="BC109" t="str">
        <f t="shared" si="237"/>
        <v/>
      </c>
      <c r="BD109" t="str">
        <f t="shared" si="238"/>
        <v/>
      </c>
      <c r="BE109" t="str">
        <f t="shared" si="239"/>
        <v/>
      </c>
      <c r="BF109" t="str">
        <f t="shared" si="240"/>
        <v/>
      </c>
      <c r="BG109" t="str">
        <f t="shared" si="241"/>
        <v/>
      </c>
      <c r="BH109" t="str">
        <f t="shared" si="242"/>
        <v/>
      </c>
      <c r="BI109" t="str">
        <f t="shared" si="243"/>
        <v/>
      </c>
      <c r="BK109">
        <f t="shared" si="161"/>
        <v>1</v>
      </c>
      <c r="BL109">
        <f t="shared" si="162"/>
        <v>6</v>
      </c>
      <c r="BM109">
        <f t="shared" si="163"/>
        <v>1</v>
      </c>
      <c r="BN109">
        <f t="shared" si="164"/>
        <v>2</v>
      </c>
      <c r="BO109">
        <f t="shared" si="165"/>
        <v>0</v>
      </c>
      <c r="BP109">
        <f t="shared" si="166"/>
        <v>0</v>
      </c>
      <c r="BQ109">
        <f t="shared" si="167"/>
        <v>0</v>
      </c>
      <c r="BR109">
        <f t="shared" si="168"/>
        <v>0</v>
      </c>
      <c r="BS109">
        <f t="shared" si="169"/>
        <v>0</v>
      </c>
      <c r="BT109">
        <f t="shared" si="170"/>
        <v>0</v>
      </c>
      <c r="BU109">
        <f t="shared" si="171"/>
        <v>0</v>
      </c>
      <c r="BV109">
        <f t="shared" si="172"/>
        <v>0</v>
      </c>
      <c r="BW109">
        <f t="shared" si="173"/>
        <v>0</v>
      </c>
      <c r="BX109">
        <f t="shared" si="174"/>
        <v>0</v>
      </c>
      <c r="BY109">
        <f t="shared" si="175"/>
        <v>0</v>
      </c>
      <c r="BZ109">
        <f t="shared" si="176"/>
        <v>0</v>
      </c>
      <c r="CA109">
        <f t="shared" si="177"/>
        <v>0</v>
      </c>
      <c r="CB109">
        <f t="shared" si="178"/>
        <v>0</v>
      </c>
      <c r="CC109">
        <f t="shared" si="179"/>
        <v>0</v>
      </c>
      <c r="CE109" t="str">
        <f t="shared" si="180"/>
        <v>097</v>
      </c>
      <c r="CF109" t="str">
        <f t="shared" si="181"/>
        <v>00</v>
      </c>
      <c r="CG109" t="str">
        <f t="shared" si="181"/>
        <v>00</v>
      </c>
      <c r="CH109" t="str">
        <f t="shared" si="181"/>
        <v>00</v>
      </c>
      <c r="CI109" t="str">
        <f t="shared" si="182"/>
        <v>01</v>
      </c>
      <c r="CJ109" t="str">
        <f t="shared" si="183"/>
        <v>06</v>
      </c>
      <c r="CK109" t="str">
        <f t="shared" si="184"/>
        <v>01</v>
      </c>
      <c r="CL109" t="str">
        <f t="shared" si="185"/>
        <v>02</v>
      </c>
      <c r="CM109" t="str">
        <f t="shared" si="186"/>
        <v>00</v>
      </c>
      <c r="CN109" t="str">
        <f t="shared" si="187"/>
        <v>00</v>
      </c>
      <c r="CO109" t="str">
        <f t="shared" si="188"/>
        <v>00</v>
      </c>
      <c r="CP109" t="str">
        <f t="shared" si="189"/>
        <v>00</v>
      </c>
      <c r="CQ109" t="str">
        <f t="shared" si="190"/>
        <v>00</v>
      </c>
      <c r="CR109" t="str">
        <f t="shared" si="191"/>
        <v>00</v>
      </c>
      <c r="CS109" t="str">
        <f t="shared" si="192"/>
        <v>00</v>
      </c>
      <c r="CT109" t="str">
        <f t="shared" si="193"/>
        <v>00</v>
      </c>
      <c r="CU109" t="str">
        <f t="shared" si="194"/>
        <v>00</v>
      </c>
      <c r="CV109" t="str">
        <f t="shared" si="195"/>
        <v>00</v>
      </c>
      <c r="CW109" t="str">
        <f t="shared" si="196"/>
        <v>00</v>
      </c>
      <c r="CX109" t="str">
        <f t="shared" si="197"/>
        <v>00</v>
      </c>
      <c r="CY109" t="str">
        <f t="shared" si="198"/>
        <v>00</v>
      </c>
      <c r="CZ109" t="str">
        <f t="shared" si="199"/>
        <v>00</v>
      </c>
      <c r="DA109" t="str">
        <f t="shared" si="200"/>
        <v>00</v>
      </c>
      <c r="DB109" t="str">
        <f t="shared" si="201"/>
        <v>04</v>
      </c>
      <c r="DC109" t="str">
        <f t="shared" si="202"/>
        <v>0106010200000000000000000000000000000004</v>
      </c>
      <c r="DD109" t="str">
        <f t="shared" si="203"/>
        <v>Daftar super user baru</v>
      </c>
      <c r="DE109" t="s">
        <v>213</v>
      </c>
      <c r="DF109" t="s">
        <v>223</v>
      </c>
      <c r="DG109" t="s">
        <v>224</v>
      </c>
      <c r="DH109" t="s">
        <v>225</v>
      </c>
      <c r="DI109" t="s">
        <v>226</v>
      </c>
      <c r="DJ109" t="s">
        <v>227</v>
      </c>
      <c r="DK109" t="s">
        <v>228</v>
      </c>
      <c r="DL109" t="str">
        <f t="shared" si="204"/>
        <v>097,00,00,00,01,06,01,02,00,00,00,00,00,00,00,00,00,00,00,00,00,00,00,04,0106010200000000000000000000000000000004,Daftar super user baru,file97,Blk1,Blk2,Blk3,Blk4,Blk5,Blk6</v>
      </c>
    </row>
    <row r="110" spans="2:116" x14ac:dyDescent="0.25">
      <c r="B110">
        <f t="shared" si="205"/>
        <v>98</v>
      </c>
      <c r="E110" t="s">
        <v>109</v>
      </c>
      <c r="W110">
        <f t="shared" si="206"/>
        <v>0</v>
      </c>
      <c r="X110">
        <f t="shared" si="207"/>
        <v>0</v>
      </c>
      <c r="Y110">
        <f t="shared" si="208"/>
        <v>1</v>
      </c>
      <c r="Z110">
        <f t="shared" si="209"/>
        <v>0</v>
      </c>
      <c r="AA110">
        <f t="shared" si="210"/>
        <v>0</v>
      </c>
      <c r="AB110">
        <f t="shared" si="211"/>
        <v>0</v>
      </c>
      <c r="AC110">
        <f t="shared" si="212"/>
        <v>0</v>
      </c>
      <c r="AD110">
        <f t="shared" si="213"/>
        <v>0</v>
      </c>
      <c r="AE110">
        <f t="shared" si="214"/>
        <v>0</v>
      </c>
      <c r="AF110">
        <f t="shared" si="215"/>
        <v>0</v>
      </c>
      <c r="AG110">
        <f t="shared" si="216"/>
        <v>0</v>
      </c>
      <c r="AH110">
        <f t="shared" si="217"/>
        <v>0</v>
      </c>
      <c r="AI110">
        <f t="shared" si="218"/>
        <v>0</v>
      </c>
      <c r="AJ110">
        <f t="shared" si="219"/>
        <v>0</v>
      </c>
      <c r="AK110">
        <f t="shared" si="220"/>
        <v>0</v>
      </c>
      <c r="AL110">
        <f t="shared" si="221"/>
        <v>0</v>
      </c>
      <c r="AM110">
        <f t="shared" si="222"/>
        <v>0</v>
      </c>
      <c r="AN110">
        <f t="shared" si="223"/>
        <v>0</v>
      </c>
      <c r="AO110">
        <f t="shared" si="224"/>
        <v>0</v>
      </c>
      <c r="AP110" s="2" t="str">
        <f t="shared" si="160"/>
        <v/>
      </c>
      <c r="AQ110" t="str">
        <f t="shared" si="225"/>
        <v>S</v>
      </c>
      <c r="AR110" t="str">
        <f t="shared" si="226"/>
        <v>S</v>
      </c>
      <c r="AS110" t="str">
        <f t="shared" si="227"/>
        <v>+</v>
      </c>
      <c r="AT110" t="str">
        <f t="shared" si="228"/>
        <v/>
      </c>
      <c r="AU110" t="str">
        <f t="shared" si="229"/>
        <v/>
      </c>
      <c r="AV110" t="str">
        <f t="shared" si="230"/>
        <v/>
      </c>
      <c r="AW110" t="str">
        <f t="shared" si="231"/>
        <v/>
      </c>
      <c r="AX110" t="str">
        <f t="shared" si="232"/>
        <v/>
      </c>
      <c r="AY110" t="str">
        <f t="shared" si="233"/>
        <v/>
      </c>
      <c r="AZ110" t="str">
        <f t="shared" si="234"/>
        <v/>
      </c>
      <c r="BA110" t="str">
        <f t="shared" si="235"/>
        <v/>
      </c>
      <c r="BB110" t="str">
        <f t="shared" si="236"/>
        <v/>
      </c>
      <c r="BC110" t="str">
        <f t="shared" si="237"/>
        <v/>
      </c>
      <c r="BD110" t="str">
        <f t="shared" si="238"/>
        <v/>
      </c>
      <c r="BE110" t="str">
        <f t="shared" si="239"/>
        <v/>
      </c>
      <c r="BF110" t="str">
        <f t="shared" si="240"/>
        <v/>
      </c>
      <c r="BG110" t="str">
        <f t="shared" si="241"/>
        <v/>
      </c>
      <c r="BH110" t="str">
        <f t="shared" si="242"/>
        <v/>
      </c>
      <c r="BI110" t="str">
        <f t="shared" si="243"/>
        <v/>
      </c>
      <c r="BK110">
        <f t="shared" si="161"/>
        <v>1</v>
      </c>
      <c r="BL110">
        <f t="shared" si="162"/>
        <v>6</v>
      </c>
      <c r="BM110">
        <f t="shared" si="163"/>
        <v>2</v>
      </c>
      <c r="BN110">
        <f t="shared" si="164"/>
        <v>0</v>
      </c>
      <c r="BO110">
        <f t="shared" si="165"/>
        <v>0</v>
      </c>
      <c r="BP110">
        <f t="shared" si="166"/>
        <v>0</v>
      </c>
      <c r="BQ110">
        <f t="shared" si="167"/>
        <v>0</v>
      </c>
      <c r="BR110">
        <f t="shared" si="168"/>
        <v>0</v>
      </c>
      <c r="BS110">
        <f t="shared" si="169"/>
        <v>0</v>
      </c>
      <c r="BT110">
        <f t="shared" si="170"/>
        <v>0</v>
      </c>
      <c r="BU110">
        <f t="shared" si="171"/>
        <v>0</v>
      </c>
      <c r="BV110">
        <f t="shared" si="172"/>
        <v>0</v>
      </c>
      <c r="BW110">
        <f t="shared" si="173"/>
        <v>0</v>
      </c>
      <c r="BX110">
        <f t="shared" si="174"/>
        <v>0</v>
      </c>
      <c r="BY110">
        <f t="shared" si="175"/>
        <v>0</v>
      </c>
      <c r="BZ110">
        <f t="shared" si="176"/>
        <v>0</v>
      </c>
      <c r="CA110">
        <f t="shared" si="177"/>
        <v>0</v>
      </c>
      <c r="CB110">
        <f t="shared" si="178"/>
        <v>0</v>
      </c>
      <c r="CC110">
        <f t="shared" si="179"/>
        <v>0</v>
      </c>
      <c r="CE110" t="str">
        <f t="shared" si="180"/>
        <v>098</v>
      </c>
      <c r="CF110" t="str">
        <f t="shared" si="181"/>
        <v>00</v>
      </c>
      <c r="CG110" t="str">
        <f t="shared" si="181"/>
        <v>00</v>
      </c>
      <c r="CH110" t="str">
        <f t="shared" si="181"/>
        <v>00</v>
      </c>
      <c r="CI110" t="str">
        <f t="shared" si="182"/>
        <v>01</v>
      </c>
      <c r="CJ110" t="str">
        <f t="shared" si="183"/>
        <v>06</v>
      </c>
      <c r="CK110" t="str">
        <f t="shared" si="184"/>
        <v>02</v>
      </c>
      <c r="CL110" t="str">
        <f t="shared" si="185"/>
        <v>00</v>
      </c>
      <c r="CM110" t="str">
        <f t="shared" si="186"/>
        <v>00</v>
      </c>
      <c r="CN110" t="str">
        <f t="shared" si="187"/>
        <v>00</v>
      </c>
      <c r="CO110" t="str">
        <f t="shared" si="188"/>
        <v>00</v>
      </c>
      <c r="CP110" t="str">
        <f t="shared" si="189"/>
        <v>00</v>
      </c>
      <c r="CQ110" t="str">
        <f t="shared" si="190"/>
        <v>00</v>
      </c>
      <c r="CR110" t="str">
        <f t="shared" si="191"/>
        <v>00</v>
      </c>
      <c r="CS110" t="str">
        <f t="shared" si="192"/>
        <v>00</v>
      </c>
      <c r="CT110" t="str">
        <f t="shared" si="193"/>
        <v>00</v>
      </c>
      <c r="CU110" t="str">
        <f t="shared" si="194"/>
        <v>00</v>
      </c>
      <c r="CV110" t="str">
        <f t="shared" si="195"/>
        <v>00</v>
      </c>
      <c r="CW110" t="str">
        <f t="shared" si="196"/>
        <v>00</v>
      </c>
      <c r="CX110" t="str">
        <f t="shared" si="197"/>
        <v>00</v>
      </c>
      <c r="CY110" t="str">
        <f t="shared" si="198"/>
        <v>00</v>
      </c>
      <c r="CZ110" t="str">
        <f t="shared" si="199"/>
        <v>00</v>
      </c>
      <c r="DA110" t="str">
        <f t="shared" si="200"/>
        <v>00</v>
      </c>
      <c r="DB110" t="str">
        <f t="shared" si="201"/>
        <v>03</v>
      </c>
      <c r="DC110" t="str">
        <f t="shared" si="202"/>
        <v>0106020000000000000000000000000000000003</v>
      </c>
      <c r="DD110" t="str">
        <f t="shared" si="203"/>
        <v>Edit user</v>
      </c>
      <c r="DE110" t="s">
        <v>214</v>
      </c>
      <c r="DF110" t="s">
        <v>223</v>
      </c>
      <c r="DG110" t="s">
        <v>224</v>
      </c>
      <c r="DH110" t="s">
        <v>225</v>
      </c>
      <c r="DI110" t="s">
        <v>226</v>
      </c>
      <c r="DJ110" t="s">
        <v>227</v>
      </c>
      <c r="DK110" t="s">
        <v>228</v>
      </c>
      <c r="DL110" t="str">
        <f t="shared" si="204"/>
        <v>098,00,00,00,01,06,02,00,00,00,00,00,00,00,00,00,00,00,00,00,00,00,00,03,0106020000000000000000000000000000000003,Edit user,file98,Blk1,Blk2,Blk3,Blk4,Blk5,Blk6</v>
      </c>
    </row>
    <row r="111" spans="2:116" x14ac:dyDescent="0.25">
      <c r="B111">
        <f t="shared" si="205"/>
        <v>99</v>
      </c>
      <c r="F111" t="s">
        <v>109</v>
      </c>
      <c r="W111">
        <f t="shared" si="206"/>
        <v>0</v>
      </c>
      <c r="X111">
        <f t="shared" si="207"/>
        <v>0</v>
      </c>
      <c r="Y111">
        <f t="shared" si="208"/>
        <v>0</v>
      </c>
      <c r="Z111">
        <f t="shared" si="209"/>
        <v>1</v>
      </c>
      <c r="AA111">
        <f t="shared" si="210"/>
        <v>0</v>
      </c>
      <c r="AB111">
        <f t="shared" si="211"/>
        <v>0</v>
      </c>
      <c r="AC111">
        <f t="shared" si="212"/>
        <v>0</v>
      </c>
      <c r="AD111">
        <f t="shared" si="213"/>
        <v>0</v>
      </c>
      <c r="AE111">
        <f t="shared" si="214"/>
        <v>0</v>
      </c>
      <c r="AF111">
        <f t="shared" si="215"/>
        <v>0</v>
      </c>
      <c r="AG111">
        <f t="shared" si="216"/>
        <v>0</v>
      </c>
      <c r="AH111">
        <f t="shared" si="217"/>
        <v>0</v>
      </c>
      <c r="AI111">
        <f t="shared" si="218"/>
        <v>0</v>
      </c>
      <c r="AJ111">
        <f t="shared" si="219"/>
        <v>0</v>
      </c>
      <c r="AK111">
        <f t="shared" si="220"/>
        <v>0</v>
      </c>
      <c r="AL111">
        <f t="shared" si="221"/>
        <v>0</v>
      </c>
      <c r="AM111">
        <f t="shared" si="222"/>
        <v>0</v>
      </c>
      <c r="AN111">
        <f t="shared" si="223"/>
        <v>0</v>
      </c>
      <c r="AO111">
        <f t="shared" si="224"/>
        <v>0</v>
      </c>
      <c r="AP111" s="2" t="str">
        <f t="shared" si="160"/>
        <v/>
      </c>
      <c r="AQ111" t="str">
        <f t="shared" si="225"/>
        <v>S</v>
      </c>
      <c r="AR111" t="str">
        <f t="shared" si="226"/>
        <v>S</v>
      </c>
      <c r="AS111" t="str">
        <f t="shared" si="227"/>
        <v>S</v>
      </c>
      <c r="AT111">
        <f t="shared" si="228"/>
        <v>1</v>
      </c>
      <c r="AU111" t="str">
        <f t="shared" si="229"/>
        <v/>
      </c>
      <c r="AV111" t="str">
        <f t="shared" si="230"/>
        <v/>
      </c>
      <c r="AW111" t="str">
        <f t="shared" si="231"/>
        <v/>
      </c>
      <c r="AX111" t="str">
        <f t="shared" si="232"/>
        <v/>
      </c>
      <c r="AY111" t="str">
        <f t="shared" si="233"/>
        <v/>
      </c>
      <c r="AZ111" t="str">
        <f t="shared" si="234"/>
        <v/>
      </c>
      <c r="BA111" t="str">
        <f t="shared" si="235"/>
        <v/>
      </c>
      <c r="BB111" t="str">
        <f t="shared" si="236"/>
        <v/>
      </c>
      <c r="BC111" t="str">
        <f t="shared" si="237"/>
        <v/>
      </c>
      <c r="BD111" t="str">
        <f t="shared" si="238"/>
        <v/>
      </c>
      <c r="BE111" t="str">
        <f t="shared" si="239"/>
        <v/>
      </c>
      <c r="BF111" t="str">
        <f t="shared" si="240"/>
        <v/>
      </c>
      <c r="BG111" t="str">
        <f t="shared" si="241"/>
        <v/>
      </c>
      <c r="BH111" t="str">
        <f t="shared" si="242"/>
        <v/>
      </c>
      <c r="BI111" t="str">
        <f t="shared" si="243"/>
        <v/>
      </c>
      <c r="BK111">
        <f t="shared" si="161"/>
        <v>1</v>
      </c>
      <c r="BL111">
        <f t="shared" si="162"/>
        <v>6</v>
      </c>
      <c r="BM111">
        <f t="shared" si="163"/>
        <v>2</v>
      </c>
      <c r="BN111">
        <f t="shared" si="164"/>
        <v>1</v>
      </c>
      <c r="BO111">
        <f t="shared" si="165"/>
        <v>0</v>
      </c>
      <c r="BP111">
        <f t="shared" si="166"/>
        <v>0</v>
      </c>
      <c r="BQ111">
        <f t="shared" si="167"/>
        <v>0</v>
      </c>
      <c r="BR111">
        <f t="shared" si="168"/>
        <v>0</v>
      </c>
      <c r="BS111">
        <f t="shared" si="169"/>
        <v>0</v>
      </c>
      <c r="BT111">
        <f t="shared" si="170"/>
        <v>0</v>
      </c>
      <c r="BU111">
        <f t="shared" si="171"/>
        <v>0</v>
      </c>
      <c r="BV111">
        <f t="shared" si="172"/>
        <v>0</v>
      </c>
      <c r="BW111">
        <f t="shared" si="173"/>
        <v>0</v>
      </c>
      <c r="BX111">
        <f t="shared" si="174"/>
        <v>0</v>
      </c>
      <c r="BY111">
        <f t="shared" si="175"/>
        <v>0</v>
      </c>
      <c r="BZ111">
        <f t="shared" si="176"/>
        <v>0</v>
      </c>
      <c r="CA111">
        <f t="shared" si="177"/>
        <v>0</v>
      </c>
      <c r="CB111">
        <f t="shared" si="178"/>
        <v>0</v>
      </c>
      <c r="CC111">
        <f t="shared" si="179"/>
        <v>0</v>
      </c>
      <c r="CE111" t="str">
        <f t="shared" si="180"/>
        <v>099</v>
      </c>
      <c r="CF111" t="str">
        <f t="shared" si="181"/>
        <v>00</v>
      </c>
      <c r="CG111" t="str">
        <f t="shared" si="181"/>
        <v>00</v>
      </c>
      <c r="CH111" t="str">
        <f t="shared" si="181"/>
        <v>00</v>
      </c>
      <c r="CI111" t="str">
        <f t="shared" si="182"/>
        <v>01</v>
      </c>
      <c r="CJ111" t="str">
        <f t="shared" si="183"/>
        <v>06</v>
      </c>
      <c r="CK111" t="str">
        <f t="shared" si="184"/>
        <v>02</v>
      </c>
      <c r="CL111" t="str">
        <f t="shared" si="185"/>
        <v>01</v>
      </c>
      <c r="CM111" t="str">
        <f t="shared" si="186"/>
        <v>00</v>
      </c>
      <c r="CN111" t="str">
        <f t="shared" si="187"/>
        <v>00</v>
      </c>
      <c r="CO111" t="str">
        <f t="shared" si="188"/>
        <v>00</v>
      </c>
      <c r="CP111" t="str">
        <f t="shared" si="189"/>
        <v>00</v>
      </c>
      <c r="CQ111" t="str">
        <f t="shared" si="190"/>
        <v>00</v>
      </c>
      <c r="CR111" t="str">
        <f t="shared" si="191"/>
        <v>00</v>
      </c>
      <c r="CS111" t="str">
        <f t="shared" si="192"/>
        <v>00</v>
      </c>
      <c r="CT111" t="str">
        <f t="shared" si="193"/>
        <v>00</v>
      </c>
      <c r="CU111" t="str">
        <f t="shared" si="194"/>
        <v>00</v>
      </c>
      <c r="CV111" t="str">
        <f t="shared" si="195"/>
        <v>00</v>
      </c>
      <c r="CW111" t="str">
        <f t="shared" si="196"/>
        <v>00</v>
      </c>
      <c r="CX111" t="str">
        <f t="shared" si="197"/>
        <v>00</v>
      </c>
      <c r="CY111" t="str">
        <f t="shared" si="198"/>
        <v>00</v>
      </c>
      <c r="CZ111" t="str">
        <f t="shared" si="199"/>
        <v>00</v>
      </c>
      <c r="DA111" t="str">
        <f t="shared" si="200"/>
        <v>00</v>
      </c>
      <c r="DB111" t="str">
        <f t="shared" si="201"/>
        <v>04</v>
      </c>
      <c r="DC111" t="str">
        <f t="shared" si="202"/>
        <v>0106020100000000000000000000000000000004</v>
      </c>
      <c r="DD111" t="str">
        <f t="shared" si="203"/>
        <v>Edit user</v>
      </c>
      <c r="DE111" t="s">
        <v>215</v>
      </c>
      <c r="DF111" t="s">
        <v>223</v>
      </c>
      <c r="DG111" t="s">
        <v>224</v>
      </c>
      <c r="DH111" t="s">
        <v>225</v>
      </c>
      <c r="DI111" t="s">
        <v>226</v>
      </c>
      <c r="DJ111" t="s">
        <v>227</v>
      </c>
      <c r="DK111" t="s">
        <v>228</v>
      </c>
      <c r="DL111" t="str">
        <f t="shared" si="204"/>
        <v>099,00,00,00,01,06,02,01,00,00,00,00,00,00,00,00,00,00,00,00,00,00,00,04,0106020100000000000000000000000000000004,Edit user,file99,Blk1,Blk2,Blk3,Blk4,Blk5,Blk6</v>
      </c>
    </row>
    <row r="112" spans="2:116" x14ac:dyDescent="0.25">
      <c r="B112">
        <f t="shared" si="205"/>
        <v>100</v>
      </c>
      <c r="F112" t="s">
        <v>113</v>
      </c>
      <c r="W112">
        <f t="shared" si="206"/>
        <v>0</v>
      </c>
      <c r="X112">
        <f t="shared" si="207"/>
        <v>0</v>
      </c>
      <c r="Y112">
        <f t="shared" si="208"/>
        <v>0</v>
      </c>
      <c r="Z112">
        <f t="shared" si="209"/>
        <v>1</v>
      </c>
      <c r="AA112">
        <f t="shared" si="210"/>
        <v>0</v>
      </c>
      <c r="AB112">
        <f t="shared" si="211"/>
        <v>0</v>
      </c>
      <c r="AC112">
        <f t="shared" si="212"/>
        <v>0</v>
      </c>
      <c r="AD112">
        <f t="shared" si="213"/>
        <v>0</v>
      </c>
      <c r="AE112">
        <f t="shared" si="214"/>
        <v>0</v>
      </c>
      <c r="AF112">
        <f t="shared" si="215"/>
        <v>0</v>
      </c>
      <c r="AG112">
        <f t="shared" si="216"/>
        <v>0</v>
      </c>
      <c r="AH112">
        <f t="shared" si="217"/>
        <v>0</v>
      </c>
      <c r="AI112">
        <f t="shared" si="218"/>
        <v>0</v>
      </c>
      <c r="AJ112">
        <f t="shared" si="219"/>
        <v>0</v>
      </c>
      <c r="AK112">
        <f t="shared" si="220"/>
        <v>0</v>
      </c>
      <c r="AL112">
        <f t="shared" si="221"/>
        <v>0</v>
      </c>
      <c r="AM112">
        <f t="shared" si="222"/>
        <v>0</v>
      </c>
      <c r="AN112">
        <f t="shared" si="223"/>
        <v>0</v>
      </c>
      <c r="AO112">
        <f t="shared" si="224"/>
        <v>0</v>
      </c>
      <c r="AP112" s="2" t="str">
        <f t="shared" si="160"/>
        <v/>
      </c>
      <c r="AQ112" t="str">
        <f t="shared" si="225"/>
        <v>S</v>
      </c>
      <c r="AR112" t="str">
        <f t="shared" si="226"/>
        <v>S</v>
      </c>
      <c r="AS112" t="str">
        <f t="shared" si="227"/>
        <v>S</v>
      </c>
      <c r="AT112" t="str">
        <f t="shared" si="228"/>
        <v>+</v>
      </c>
      <c r="AU112" t="str">
        <f t="shared" si="229"/>
        <v/>
      </c>
      <c r="AV112" t="str">
        <f t="shared" si="230"/>
        <v/>
      </c>
      <c r="AW112" t="str">
        <f t="shared" si="231"/>
        <v/>
      </c>
      <c r="AX112" t="str">
        <f t="shared" si="232"/>
        <v/>
      </c>
      <c r="AY112" t="str">
        <f t="shared" si="233"/>
        <v/>
      </c>
      <c r="AZ112" t="str">
        <f t="shared" si="234"/>
        <v/>
      </c>
      <c r="BA112" t="str">
        <f t="shared" si="235"/>
        <v/>
      </c>
      <c r="BB112" t="str">
        <f t="shared" si="236"/>
        <v/>
      </c>
      <c r="BC112" t="str">
        <f t="shared" si="237"/>
        <v/>
      </c>
      <c r="BD112" t="str">
        <f t="shared" si="238"/>
        <v/>
      </c>
      <c r="BE112" t="str">
        <f t="shared" si="239"/>
        <v/>
      </c>
      <c r="BF112" t="str">
        <f t="shared" si="240"/>
        <v/>
      </c>
      <c r="BG112" t="str">
        <f t="shared" si="241"/>
        <v/>
      </c>
      <c r="BH112" t="str">
        <f t="shared" si="242"/>
        <v/>
      </c>
      <c r="BI112" t="str">
        <f t="shared" si="243"/>
        <v/>
      </c>
      <c r="BK112">
        <f t="shared" si="161"/>
        <v>1</v>
      </c>
      <c r="BL112">
        <f t="shared" si="162"/>
        <v>6</v>
      </c>
      <c r="BM112">
        <f t="shared" si="163"/>
        <v>2</v>
      </c>
      <c r="BN112">
        <f t="shared" si="164"/>
        <v>2</v>
      </c>
      <c r="BO112">
        <f t="shared" si="165"/>
        <v>0</v>
      </c>
      <c r="BP112">
        <f t="shared" si="166"/>
        <v>0</v>
      </c>
      <c r="BQ112">
        <f t="shared" si="167"/>
        <v>0</v>
      </c>
      <c r="BR112">
        <f t="shared" si="168"/>
        <v>0</v>
      </c>
      <c r="BS112">
        <f t="shared" si="169"/>
        <v>0</v>
      </c>
      <c r="BT112">
        <f t="shared" si="170"/>
        <v>0</v>
      </c>
      <c r="BU112">
        <f t="shared" si="171"/>
        <v>0</v>
      </c>
      <c r="BV112">
        <f t="shared" si="172"/>
        <v>0</v>
      </c>
      <c r="BW112">
        <f t="shared" si="173"/>
        <v>0</v>
      </c>
      <c r="BX112">
        <f t="shared" si="174"/>
        <v>0</v>
      </c>
      <c r="BY112">
        <f t="shared" si="175"/>
        <v>0</v>
      </c>
      <c r="BZ112">
        <f t="shared" si="176"/>
        <v>0</v>
      </c>
      <c r="CA112">
        <f t="shared" si="177"/>
        <v>0</v>
      </c>
      <c r="CB112">
        <f t="shared" si="178"/>
        <v>0</v>
      </c>
      <c r="CC112">
        <f t="shared" si="179"/>
        <v>0</v>
      </c>
      <c r="CE112" t="str">
        <f t="shared" si="180"/>
        <v>100</v>
      </c>
      <c r="CF112" t="str">
        <f t="shared" si="181"/>
        <v>00</v>
      </c>
      <c r="CG112" t="str">
        <f t="shared" si="181"/>
        <v>00</v>
      </c>
      <c r="CH112" t="str">
        <f t="shared" si="181"/>
        <v>00</v>
      </c>
      <c r="CI112" t="str">
        <f t="shared" si="182"/>
        <v>01</v>
      </c>
      <c r="CJ112" t="str">
        <f t="shared" si="183"/>
        <v>06</v>
      </c>
      <c r="CK112" t="str">
        <f t="shared" si="184"/>
        <v>02</v>
      </c>
      <c r="CL112" t="str">
        <f t="shared" si="185"/>
        <v>02</v>
      </c>
      <c r="CM112" t="str">
        <f t="shared" si="186"/>
        <v>00</v>
      </c>
      <c r="CN112" t="str">
        <f t="shared" si="187"/>
        <v>00</v>
      </c>
      <c r="CO112" t="str">
        <f t="shared" si="188"/>
        <v>00</v>
      </c>
      <c r="CP112" t="str">
        <f t="shared" si="189"/>
        <v>00</v>
      </c>
      <c r="CQ112" t="str">
        <f t="shared" si="190"/>
        <v>00</v>
      </c>
      <c r="CR112" t="str">
        <f t="shared" si="191"/>
        <v>00</v>
      </c>
      <c r="CS112" t="str">
        <f t="shared" si="192"/>
        <v>00</v>
      </c>
      <c r="CT112" t="str">
        <f t="shared" si="193"/>
        <v>00</v>
      </c>
      <c r="CU112" t="str">
        <f t="shared" si="194"/>
        <v>00</v>
      </c>
      <c r="CV112" t="str">
        <f t="shared" si="195"/>
        <v>00</v>
      </c>
      <c r="CW112" t="str">
        <f t="shared" si="196"/>
        <v>00</v>
      </c>
      <c r="CX112" t="str">
        <f t="shared" si="197"/>
        <v>00</v>
      </c>
      <c r="CY112" t="str">
        <f t="shared" si="198"/>
        <v>00</v>
      </c>
      <c r="CZ112" t="str">
        <f t="shared" si="199"/>
        <v>00</v>
      </c>
      <c r="DA112" t="str">
        <f t="shared" si="200"/>
        <v>00</v>
      </c>
      <c r="DB112" t="str">
        <f t="shared" si="201"/>
        <v>04</v>
      </c>
      <c r="DC112" t="str">
        <f t="shared" si="202"/>
        <v>0106020200000000000000000000000000000004</v>
      </c>
      <c r="DD112" t="str">
        <f t="shared" si="203"/>
        <v>Edit super user</v>
      </c>
      <c r="DE112" t="s">
        <v>216</v>
      </c>
      <c r="DF112" t="s">
        <v>223</v>
      </c>
      <c r="DG112" t="s">
        <v>224</v>
      </c>
      <c r="DH112" t="s">
        <v>225</v>
      </c>
      <c r="DI112" t="s">
        <v>226</v>
      </c>
      <c r="DJ112" t="s">
        <v>227</v>
      </c>
      <c r="DK112" t="s">
        <v>228</v>
      </c>
      <c r="DL112" t="str">
        <f t="shared" si="204"/>
        <v>100,00,00,00,01,06,02,02,00,00,00,00,00,00,00,00,00,00,00,00,00,00,00,04,0106020200000000000000000000000000000004,Edit super user,file100,Blk1,Blk2,Blk3,Blk4,Blk5,Blk6</v>
      </c>
    </row>
    <row r="113" spans="2:116" x14ac:dyDescent="0.25">
      <c r="B113">
        <f t="shared" si="205"/>
        <v>101</v>
      </c>
      <c r="F113" t="s">
        <v>114</v>
      </c>
      <c r="W113">
        <f t="shared" si="206"/>
        <v>0</v>
      </c>
      <c r="X113">
        <f t="shared" si="207"/>
        <v>0</v>
      </c>
      <c r="Y113">
        <f t="shared" si="208"/>
        <v>0</v>
      </c>
      <c r="Z113">
        <f t="shared" si="209"/>
        <v>1</v>
      </c>
      <c r="AA113">
        <f t="shared" si="210"/>
        <v>0</v>
      </c>
      <c r="AB113">
        <f t="shared" si="211"/>
        <v>0</v>
      </c>
      <c r="AC113">
        <f t="shared" si="212"/>
        <v>0</v>
      </c>
      <c r="AD113">
        <f t="shared" si="213"/>
        <v>0</v>
      </c>
      <c r="AE113">
        <f t="shared" si="214"/>
        <v>0</v>
      </c>
      <c r="AF113">
        <f t="shared" si="215"/>
        <v>0</v>
      </c>
      <c r="AG113">
        <f t="shared" si="216"/>
        <v>0</v>
      </c>
      <c r="AH113">
        <f t="shared" si="217"/>
        <v>0</v>
      </c>
      <c r="AI113">
        <f t="shared" si="218"/>
        <v>0</v>
      </c>
      <c r="AJ113">
        <f t="shared" si="219"/>
        <v>0</v>
      </c>
      <c r="AK113">
        <f t="shared" si="220"/>
        <v>0</v>
      </c>
      <c r="AL113">
        <f t="shared" si="221"/>
        <v>0</v>
      </c>
      <c r="AM113">
        <f t="shared" si="222"/>
        <v>0</v>
      </c>
      <c r="AN113">
        <f t="shared" si="223"/>
        <v>0</v>
      </c>
      <c r="AO113">
        <f t="shared" si="224"/>
        <v>0</v>
      </c>
      <c r="AP113" s="2" t="str">
        <f t="shared" si="160"/>
        <v/>
      </c>
      <c r="AQ113" t="str">
        <f t="shared" si="225"/>
        <v>S</v>
      </c>
      <c r="AR113" t="str">
        <f t="shared" si="226"/>
        <v>S</v>
      </c>
      <c r="AS113" t="str">
        <f t="shared" si="227"/>
        <v>S</v>
      </c>
      <c r="AT113" t="str">
        <f t="shared" si="228"/>
        <v>+</v>
      </c>
      <c r="AU113" t="str">
        <f t="shared" si="229"/>
        <v/>
      </c>
      <c r="AV113" t="str">
        <f t="shared" si="230"/>
        <v/>
      </c>
      <c r="AW113" t="str">
        <f t="shared" si="231"/>
        <v/>
      </c>
      <c r="AX113" t="str">
        <f t="shared" si="232"/>
        <v/>
      </c>
      <c r="AY113" t="str">
        <f t="shared" si="233"/>
        <v/>
      </c>
      <c r="AZ113" t="str">
        <f t="shared" si="234"/>
        <v/>
      </c>
      <c r="BA113" t="str">
        <f t="shared" si="235"/>
        <v/>
      </c>
      <c r="BB113" t="str">
        <f t="shared" si="236"/>
        <v/>
      </c>
      <c r="BC113" t="str">
        <f t="shared" si="237"/>
        <v/>
      </c>
      <c r="BD113" t="str">
        <f t="shared" si="238"/>
        <v/>
      </c>
      <c r="BE113" t="str">
        <f t="shared" si="239"/>
        <v/>
      </c>
      <c r="BF113" t="str">
        <f t="shared" si="240"/>
        <v/>
      </c>
      <c r="BG113" t="str">
        <f t="shared" si="241"/>
        <v/>
      </c>
      <c r="BH113" t="str">
        <f t="shared" si="242"/>
        <v/>
      </c>
      <c r="BI113" t="str">
        <f t="shared" si="243"/>
        <v/>
      </c>
      <c r="BK113">
        <f t="shared" si="161"/>
        <v>1</v>
      </c>
      <c r="BL113">
        <f t="shared" si="162"/>
        <v>6</v>
      </c>
      <c r="BM113">
        <f t="shared" si="163"/>
        <v>2</v>
      </c>
      <c r="BN113">
        <f t="shared" si="164"/>
        <v>3</v>
      </c>
      <c r="BO113">
        <f t="shared" si="165"/>
        <v>0</v>
      </c>
      <c r="BP113">
        <f t="shared" si="166"/>
        <v>0</v>
      </c>
      <c r="BQ113">
        <f t="shared" si="167"/>
        <v>0</v>
      </c>
      <c r="BR113">
        <f t="shared" si="168"/>
        <v>0</v>
      </c>
      <c r="BS113">
        <f t="shared" si="169"/>
        <v>0</v>
      </c>
      <c r="BT113">
        <f t="shared" si="170"/>
        <v>0</v>
      </c>
      <c r="BU113">
        <f t="shared" si="171"/>
        <v>0</v>
      </c>
      <c r="BV113">
        <f t="shared" si="172"/>
        <v>0</v>
      </c>
      <c r="BW113">
        <f t="shared" si="173"/>
        <v>0</v>
      </c>
      <c r="BX113">
        <f t="shared" si="174"/>
        <v>0</v>
      </c>
      <c r="BY113">
        <f t="shared" si="175"/>
        <v>0</v>
      </c>
      <c r="BZ113">
        <f t="shared" si="176"/>
        <v>0</v>
      </c>
      <c r="CA113">
        <f t="shared" si="177"/>
        <v>0</v>
      </c>
      <c r="CB113">
        <f t="shared" si="178"/>
        <v>0</v>
      </c>
      <c r="CC113">
        <f t="shared" si="179"/>
        <v>0</v>
      </c>
      <c r="CE113" t="str">
        <f t="shared" si="180"/>
        <v>101</v>
      </c>
      <c r="CF113" t="str">
        <f t="shared" si="181"/>
        <v>00</v>
      </c>
      <c r="CG113" t="str">
        <f t="shared" si="181"/>
        <v>00</v>
      </c>
      <c r="CH113" t="str">
        <f t="shared" si="181"/>
        <v>00</v>
      </c>
      <c r="CI113" t="str">
        <f t="shared" si="182"/>
        <v>01</v>
      </c>
      <c r="CJ113" t="str">
        <f t="shared" si="183"/>
        <v>06</v>
      </c>
      <c r="CK113" t="str">
        <f t="shared" si="184"/>
        <v>02</v>
      </c>
      <c r="CL113" t="str">
        <f t="shared" si="185"/>
        <v>03</v>
      </c>
      <c r="CM113" t="str">
        <f t="shared" si="186"/>
        <v>00</v>
      </c>
      <c r="CN113" t="str">
        <f t="shared" si="187"/>
        <v>00</v>
      </c>
      <c r="CO113" t="str">
        <f t="shared" si="188"/>
        <v>00</v>
      </c>
      <c r="CP113" t="str">
        <f t="shared" si="189"/>
        <v>00</v>
      </c>
      <c r="CQ113" t="str">
        <f t="shared" si="190"/>
        <v>00</v>
      </c>
      <c r="CR113" t="str">
        <f t="shared" si="191"/>
        <v>00</v>
      </c>
      <c r="CS113" t="str">
        <f t="shared" si="192"/>
        <v>00</v>
      </c>
      <c r="CT113" t="str">
        <f t="shared" si="193"/>
        <v>00</v>
      </c>
      <c r="CU113" t="str">
        <f t="shared" si="194"/>
        <v>00</v>
      </c>
      <c r="CV113" t="str">
        <f t="shared" si="195"/>
        <v>00</v>
      </c>
      <c r="CW113" t="str">
        <f t="shared" si="196"/>
        <v>00</v>
      </c>
      <c r="CX113" t="str">
        <f t="shared" si="197"/>
        <v>00</v>
      </c>
      <c r="CY113" t="str">
        <f t="shared" si="198"/>
        <v>00</v>
      </c>
      <c r="CZ113" t="str">
        <f t="shared" si="199"/>
        <v>00</v>
      </c>
      <c r="DA113" t="str">
        <f t="shared" si="200"/>
        <v>00</v>
      </c>
      <c r="DB113" t="str">
        <f t="shared" si="201"/>
        <v>04</v>
      </c>
      <c r="DC113" t="str">
        <f t="shared" si="202"/>
        <v>0106020300000000000000000000000000000004</v>
      </c>
      <c r="DD113" t="str">
        <f t="shared" si="203"/>
        <v>Edit tamu baru</v>
      </c>
      <c r="DE113" t="s">
        <v>217</v>
      </c>
      <c r="DF113" t="s">
        <v>223</v>
      </c>
      <c r="DG113" t="s">
        <v>224</v>
      </c>
      <c r="DH113" t="s">
        <v>225</v>
      </c>
      <c r="DI113" t="s">
        <v>226</v>
      </c>
      <c r="DJ113" t="s">
        <v>227</v>
      </c>
      <c r="DK113" t="s">
        <v>228</v>
      </c>
      <c r="DL113" t="str">
        <f t="shared" si="204"/>
        <v>101,00,00,00,01,06,02,03,00,00,00,00,00,00,00,00,00,00,00,00,00,00,00,04,0106020300000000000000000000000000000004,Edit tamu baru,file101,Blk1,Blk2,Blk3,Blk4,Blk5,Blk6</v>
      </c>
    </row>
    <row r="114" spans="2:116" x14ac:dyDescent="0.25">
      <c r="B114">
        <f t="shared" si="205"/>
        <v>102</v>
      </c>
      <c r="E114" t="s">
        <v>110</v>
      </c>
      <c r="W114">
        <f t="shared" si="206"/>
        <v>0</v>
      </c>
      <c r="X114">
        <f t="shared" si="207"/>
        <v>0</v>
      </c>
      <c r="Y114">
        <f t="shared" si="208"/>
        <v>1</v>
      </c>
      <c r="Z114">
        <f t="shared" si="209"/>
        <v>0</v>
      </c>
      <c r="AA114">
        <f t="shared" si="210"/>
        <v>0</v>
      </c>
      <c r="AB114">
        <f t="shared" si="211"/>
        <v>0</v>
      </c>
      <c r="AC114">
        <f t="shared" si="212"/>
        <v>0</v>
      </c>
      <c r="AD114">
        <f t="shared" si="213"/>
        <v>0</v>
      </c>
      <c r="AE114">
        <f t="shared" si="214"/>
        <v>0</v>
      </c>
      <c r="AF114">
        <f t="shared" si="215"/>
        <v>0</v>
      </c>
      <c r="AG114">
        <f t="shared" si="216"/>
        <v>0</v>
      </c>
      <c r="AH114">
        <f t="shared" si="217"/>
        <v>0</v>
      </c>
      <c r="AI114">
        <f t="shared" si="218"/>
        <v>0</v>
      </c>
      <c r="AJ114">
        <f t="shared" si="219"/>
        <v>0</v>
      </c>
      <c r="AK114">
        <f t="shared" si="220"/>
        <v>0</v>
      </c>
      <c r="AL114">
        <f t="shared" si="221"/>
        <v>0</v>
      </c>
      <c r="AM114">
        <f t="shared" si="222"/>
        <v>0</v>
      </c>
      <c r="AN114">
        <f t="shared" si="223"/>
        <v>0</v>
      </c>
      <c r="AO114">
        <f t="shared" si="224"/>
        <v>0</v>
      </c>
      <c r="AP114" s="2" t="str">
        <f t="shared" si="160"/>
        <v/>
      </c>
      <c r="AQ114" t="str">
        <f t="shared" si="225"/>
        <v>S</v>
      </c>
      <c r="AR114" t="str">
        <f t="shared" si="226"/>
        <v>S</v>
      </c>
      <c r="AS114" t="str">
        <f t="shared" si="227"/>
        <v>+</v>
      </c>
      <c r="AT114" t="str">
        <f t="shared" si="228"/>
        <v/>
      </c>
      <c r="AU114" t="str">
        <f t="shared" si="229"/>
        <v/>
      </c>
      <c r="AV114" t="str">
        <f t="shared" si="230"/>
        <v/>
      </c>
      <c r="AW114" t="str">
        <f t="shared" si="231"/>
        <v/>
      </c>
      <c r="AX114" t="str">
        <f t="shared" si="232"/>
        <v/>
      </c>
      <c r="AY114" t="str">
        <f t="shared" si="233"/>
        <v/>
      </c>
      <c r="AZ114" t="str">
        <f t="shared" si="234"/>
        <v/>
      </c>
      <c r="BA114" t="str">
        <f t="shared" si="235"/>
        <v/>
      </c>
      <c r="BB114" t="str">
        <f t="shared" si="236"/>
        <v/>
      </c>
      <c r="BC114" t="str">
        <f t="shared" si="237"/>
        <v/>
      </c>
      <c r="BD114" t="str">
        <f t="shared" si="238"/>
        <v/>
      </c>
      <c r="BE114" t="str">
        <f t="shared" si="239"/>
        <v/>
      </c>
      <c r="BF114" t="str">
        <f t="shared" si="240"/>
        <v/>
      </c>
      <c r="BG114" t="str">
        <f t="shared" si="241"/>
        <v/>
      </c>
      <c r="BH114" t="str">
        <f t="shared" si="242"/>
        <v/>
      </c>
      <c r="BI114" t="str">
        <f t="shared" si="243"/>
        <v/>
      </c>
      <c r="BK114">
        <f t="shared" si="161"/>
        <v>1</v>
      </c>
      <c r="BL114">
        <f t="shared" si="162"/>
        <v>6</v>
      </c>
      <c r="BM114">
        <f t="shared" si="163"/>
        <v>3</v>
      </c>
      <c r="BN114">
        <f t="shared" si="164"/>
        <v>0</v>
      </c>
      <c r="BO114">
        <f t="shared" si="165"/>
        <v>0</v>
      </c>
      <c r="BP114">
        <f t="shared" si="166"/>
        <v>0</v>
      </c>
      <c r="BQ114">
        <f t="shared" si="167"/>
        <v>0</v>
      </c>
      <c r="BR114">
        <f t="shared" si="168"/>
        <v>0</v>
      </c>
      <c r="BS114">
        <f t="shared" si="169"/>
        <v>0</v>
      </c>
      <c r="BT114">
        <f t="shared" si="170"/>
        <v>0</v>
      </c>
      <c r="BU114">
        <f t="shared" si="171"/>
        <v>0</v>
      </c>
      <c r="BV114">
        <f t="shared" si="172"/>
        <v>0</v>
      </c>
      <c r="BW114">
        <f t="shared" si="173"/>
        <v>0</v>
      </c>
      <c r="BX114">
        <f t="shared" si="174"/>
        <v>0</v>
      </c>
      <c r="BY114">
        <f t="shared" si="175"/>
        <v>0</v>
      </c>
      <c r="BZ114">
        <f t="shared" si="176"/>
        <v>0</v>
      </c>
      <c r="CA114">
        <f t="shared" si="177"/>
        <v>0</v>
      </c>
      <c r="CB114">
        <f t="shared" si="178"/>
        <v>0</v>
      </c>
      <c r="CC114">
        <f t="shared" si="179"/>
        <v>0</v>
      </c>
      <c r="CE114" t="str">
        <f t="shared" si="180"/>
        <v>102</v>
      </c>
      <c r="CF114" t="str">
        <f t="shared" si="181"/>
        <v>00</v>
      </c>
      <c r="CG114" t="str">
        <f t="shared" si="181"/>
        <v>00</v>
      </c>
      <c r="CH114" t="str">
        <f t="shared" si="181"/>
        <v>00</v>
      </c>
      <c r="CI114" t="str">
        <f t="shared" si="182"/>
        <v>01</v>
      </c>
      <c r="CJ114" t="str">
        <f t="shared" si="183"/>
        <v>06</v>
      </c>
      <c r="CK114" t="str">
        <f t="shared" si="184"/>
        <v>03</v>
      </c>
      <c r="CL114" t="str">
        <f t="shared" si="185"/>
        <v>00</v>
      </c>
      <c r="CM114" t="str">
        <f t="shared" si="186"/>
        <v>00</v>
      </c>
      <c r="CN114" t="str">
        <f t="shared" si="187"/>
        <v>00</v>
      </c>
      <c r="CO114" t="str">
        <f t="shared" si="188"/>
        <v>00</v>
      </c>
      <c r="CP114" t="str">
        <f t="shared" si="189"/>
        <v>00</v>
      </c>
      <c r="CQ114" t="str">
        <f t="shared" si="190"/>
        <v>00</v>
      </c>
      <c r="CR114" t="str">
        <f t="shared" si="191"/>
        <v>00</v>
      </c>
      <c r="CS114" t="str">
        <f t="shared" si="192"/>
        <v>00</v>
      </c>
      <c r="CT114" t="str">
        <f t="shared" si="193"/>
        <v>00</v>
      </c>
      <c r="CU114" t="str">
        <f t="shared" si="194"/>
        <v>00</v>
      </c>
      <c r="CV114" t="str">
        <f t="shared" si="195"/>
        <v>00</v>
      </c>
      <c r="CW114" t="str">
        <f t="shared" si="196"/>
        <v>00</v>
      </c>
      <c r="CX114" t="str">
        <f t="shared" si="197"/>
        <v>00</v>
      </c>
      <c r="CY114" t="str">
        <f t="shared" si="198"/>
        <v>00</v>
      </c>
      <c r="CZ114" t="str">
        <f t="shared" si="199"/>
        <v>00</v>
      </c>
      <c r="DA114" t="str">
        <f t="shared" si="200"/>
        <v>00</v>
      </c>
      <c r="DB114" t="str">
        <f t="shared" si="201"/>
        <v>03</v>
      </c>
      <c r="DC114" t="str">
        <f t="shared" si="202"/>
        <v>0106030000000000000000000000000000000003</v>
      </c>
      <c r="DD114" t="str">
        <f t="shared" si="203"/>
        <v>Delete user</v>
      </c>
      <c r="DE114" t="s">
        <v>218</v>
      </c>
      <c r="DF114" t="s">
        <v>223</v>
      </c>
      <c r="DG114" t="s">
        <v>224</v>
      </c>
      <c r="DH114" t="s">
        <v>225</v>
      </c>
      <c r="DI114" t="s">
        <v>226</v>
      </c>
      <c r="DJ114" t="s">
        <v>227</v>
      </c>
      <c r="DK114" t="s">
        <v>228</v>
      </c>
      <c r="DL114" t="str">
        <f t="shared" si="204"/>
        <v>102,00,00,00,01,06,03,00,00,00,00,00,00,00,00,00,00,00,00,00,00,00,00,03,0106030000000000000000000000000000000003,Delete user,file102,Blk1,Blk2,Blk3,Blk4,Blk5,Blk6</v>
      </c>
    </row>
    <row r="115" spans="2:116" x14ac:dyDescent="0.25">
      <c r="B115">
        <f t="shared" si="205"/>
        <v>103</v>
      </c>
      <c r="F115" t="s">
        <v>115</v>
      </c>
      <c r="W115">
        <f t="shared" si="206"/>
        <v>0</v>
      </c>
      <c r="X115">
        <f t="shared" si="207"/>
        <v>0</v>
      </c>
      <c r="Y115">
        <f t="shared" si="208"/>
        <v>0</v>
      </c>
      <c r="Z115">
        <f t="shared" si="209"/>
        <v>1</v>
      </c>
      <c r="AA115">
        <f t="shared" si="210"/>
        <v>0</v>
      </c>
      <c r="AB115">
        <f t="shared" si="211"/>
        <v>0</v>
      </c>
      <c r="AC115">
        <f t="shared" si="212"/>
        <v>0</v>
      </c>
      <c r="AD115">
        <f t="shared" si="213"/>
        <v>0</v>
      </c>
      <c r="AE115">
        <f t="shared" si="214"/>
        <v>0</v>
      </c>
      <c r="AF115">
        <f t="shared" si="215"/>
        <v>0</v>
      </c>
      <c r="AG115">
        <f t="shared" si="216"/>
        <v>0</v>
      </c>
      <c r="AH115">
        <f t="shared" si="217"/>
        <v>0</v>
      </c>
      <c r="AI115">
        <f t="shared" si="218"/>
        <v>0</v>
      </c>
      <c r="AJ115">
        <f t="shared" si="219"/>
        <v>0</v>
      </c>
      <c r="AK115">
        <f t="shared" si="220"/>
        <v>0</v>
      </c>
      <c r="AL115">
        <f t="shared" si="221"/>
        <v>0</v>
      </c>
      <c r="AM115">
        <f t="shared" si="222"/>
        <v>0</v>
      </c>
      <c r="AN115">
        <f t="shared" si="223"/>
        <v>0</v>
      </c>
      <c r="AO115">
        <f t="shared" si="224"/>
        <v>0</v>
      </c>
      <c r="AP115" s="2" t="str">
        <f t="shared" si="160"/>
        <v/>
      </c>
      <c r="AQ115" t="str">
        <f t="shared" si="225"/>
        <v>S</v>
      </c>
      <c r="AR115" t="str">
        <f t="shared" si="226"/>
        <v>S</v>
      </c>
      <c r="AS115" t="str">
        <f t="shared" si="227"/>
        <v>S</v>
      </c>
      <c r="AT115">
        <f t="shared" si="228"/>
        <v>1</v>
      </c>
      <c r="AU115" t="str">
        <f t="shared" si="229"/>
        <v/>
      </c>
      <c r="AV115" t="str">
        <f t="shared" si="230"/>
        <v/>
      </c>
      <c r="AW115" t="str">
        <f t="shared" si="231"/>
        <v/>
      </c>
      <c r="AX115" t="str">
        <f t="shared" si="232"/>
        <v/>
      </c>
      <c r="AY115" t="str">
        <f t="shared" si="233"/>
        <v/>
      </c>
      <c r="AZ115" t="str">
        <f t="shared" si="234"/>
        <v/>
      </c>
      <c r="BA115" t="str">
        <f t="shared" si="235"/>
        <v/>
      </c>
      <c r="BB115" t="str">
        <f t="shared" si="236"/>
        <v/>
      </c>
      <c r="BC115" t="str">
        <f t="shared" si="237"/>
        <v/>
      </c>
      <c r="BD115" t="str">
        <f t="shared" si="238"/>
        <v/>
      </c>
      <c r="BE115" t="str">
        <f t="shared" si="239"/>
        <v/>
      </c>
      <c r="BF115" t="str">
        <f t="shared" si="240"/>
        <v/>
      </c>
      <c r="BG115" t="str">
        <f t="shared" si="241"/>
        <v/>
      </c>
      <c r="BH115" t="str">
        <f t="shared" si="242"/>
        <v/>
      </c>
      <c r="BI115" t="str">
        <f t="shared" si="243"/>
        <v/>
      </c>
      <c r="BK115">
        <f t="shared" si="161"/>
        <v>1</v>
      </c>
      <c r="BL115">
        <f t="shared" si="162"/>
        <v>6</v>
      </c>
      <c r="BM115">
        <f t="shared" si="163"/>
        <v>3</v>
      </c>
      <c r="BN115">
        <f t="shared" si="164"/>
        <v>1</v>
      </c>
      <c r="BO115">
        <f t="shared" si="165"/>
        <v>0</v>
      </c>
      <c r="BP115">
        <f t="shared" si="166"/>
        <v>0</v>
      </c>
      <c r="BQ115">
        <f t="shared" si="167"/>
        <v>0</v>
      </c>
      <c r="BR115">
        <f t="shared" si="168"/>
        <v>0</v>
      </c>
      <c r="BS115">
        <f t="shared" si="169"/>
        <v>0</v>
      </c>
      <c r="BT115">
        <f t="shared" si="170"/>
        <v>0</v>
      </c>
      <c r="BU115">
        <f t="shared" si="171"/>
        <v>0</v>
      </c>
      <c r="BV115">
        <f t="shared" si="172"/>
        <v>0</v>
      </c>
      <c r="BW115">
        <f t="shared" si="173"/>
        <v>0</v>
      </c>
      <c r="BX115">
        <f t="shared" si="174"/>
        <v>0</v>
      </c>
      <c r="BY115">
        <f t="shared" si="175"/>
        <v>0</v>
      </c>
      <c r="BZ115">
        <f t="shared" si="176"/>
        <v>0</v>
      </c>
      <c r="CA115">
        <f t="shared" si="177"/>
        <v>0</v>
      </c>
      <c r="CB115">
        <f t="shared" si="178"/>
        <v>0</v>
      </c>
      <c r="CC115">
        <f t="shared" si="179"/>
        <v>0</v>
      </c>
      <c r="CE115" t="str">
        <f t="shared" si="180"/>
        <v>103</v>
      </c>
      <c r="CF115" t="str">
        <f t="shared" si="181"/>
        <v>00</v>
      </c>
      <c r="CG115" t="str">
        <f t="shared" si="181"/>
        <v>00</v>
      </c>
      <c r="CH115" t="str">
        <f t="shared" si="181"/>
        <v>00</v>
      </c>
      <c r="CI115" t="str">
        <f t="shared" si="182"/>
        <v>01</v>
      </c>
      <c r="CJ115" t="str">
        <f t="shared" si="183"/>
        <v>06</v>
      </c>
      <c r="CK115" t="str">
        <f t="shared" si="184"/>
        <v>03</v>
      </c>
      <c r="CL115" t="str">
        <f t="shared" si="185"/>
        <v>01</v>
      </c>
      <c r="CM115" t="str">
        <f t="shared" si="186"/>
        <v>00</v>
      </c>
      <c r="CN115" t="str">
        <f t="shared" si="187"/>
        <v>00</v>
      </c>
      <c r="CO115" t="str">
        <f t="shared" si="188"/>
        <v>00</v>
      </c>
      <c r="CP115" t="str">
        <f t="shared" si="189"/>
        <v>00</v>
      </c>
      <c r="CQ115" t="str">
        <f t="shared" si="190"/>
        <v>00</v>
      </c>
      <c r="CR115" t="str">
        <f t="shared" si="191"/>
        <v>00</v>
      </c>
      <c r="CS115" t="str">
        <f t="shared" si="192"/>
        <v>00</v>
      </c>
      <c r="CT115" t="str">
        <f t="shared" si="193"/>
        <v>00</v>
      </c>
      <c r="CU115" t="str">
        <f t="shared" si="194"/>
        <v>00</v>
      </c>
      <c r="CV115" t="str">
        <f t="shared" si="195"/>
        <v>00</v>
      </c>
      <c r="CW115" t="str">
        <f t="shared" si="196"/>
        <v>00</v>
      </c>
      <c r="CX115" t="str">
        <f t="shared" si="197"/>
        <v>00</v>
      </c>
      <c r="CY115" t="str">
        <f t="shared" si="198"/>
        <v>00</v>
      </c>
      <c r="CZ115" t="str">
        <f t="shared" si="199"/>
        <v>00</v>
      </c>
      <c r="DA115" t="str">
        <f t="shared" si="200"/>
        <v>00</v>
      </c>
      <c r="DB115" t="str">
        <f t="shared" si="201"/>
        <v>04</v>
      </c>
      <c r="DC115" t="str">
        <f t="shared" si="202"/>
        <v>0106030100000000000000000000000000000004</v>
      </c>
      <c r="DD115" t="str">
        <f t="shared" si="203"/>
        <v xml:space="preserve">Delete user </v>
      </c>
      <c r="DE115" t="s">
        <v>219</v>
      </c>
      <c r="DF115" t="s">
        <v>223</v>
      </c>
      <c r="DG115" t="s">
        <v>224</v>
      </c>
      <c r="DH115" t="s">
        <v>225</v>
      </c>
      <c r="DI115" t="s">
        <v>226</v>
      </c>
      <c r="DJ115" t="s">
        <v>227</v>
      </c>
      <c r="DK115" t="s">
        <v>228</v>
      </c>
      <c r="DL115" t="str">
        <f t="shared" si="204"/>
        <v>103,00,00,00,01,06,03,01,00,00,00,00,00,00,00,00,00,00,00,00,00,00,00,04,0106030100000000000000000000000000000004,Delete user ,file103,Blk1,Blk2,Blk3,Blk4,Blk5,Blk6</v>
      </c>
    </row>
    <row r="116" spans="2:116" x14ac:dyDescent="0.25">
      <c r="B116">
        <f t="shared" si="205"/>
        <v>104</v>
      </c>
      <c r="F116" t="s">
        <v>116</v>
      </c>
      <c r="W116">
        <f t="shared" si="206"/>
        <v>0</v>
      </c>
      <c r="X116">
        <f t="shared" si="207"/>
        <v>0</v>
      </c>
      <c r="Y116">
        <f t="shared" si="208"/>
        <v>0</v>
      </c>
      <c r="Z116">
        <f t="shared" si="209"/>
        <v>1</v>
      </c>
      <c r="AA116">
        <f t="shared" si="210"/>
        <v>0</v>
      </c>
      <c r="AB116">
        <f t="shared" si="211"/>
        <v>0</v>
      </c>
      <c r="AC116">
        <f t="shared" si="212"/>
        <v>0</v>
      </c>
      <c r="AD116">
        <f t="shared" si="213"/>
        <v>0</v>
      </c>
      <c r="AE116">
        <f t="shared" si="214"/>
        <v>0</v>
      </c>
      <c r="AF116">
        <f t="shared" si="215"/>
        <v>0</v>
      </c>
      <c r="AG116">
        <f t="shared" si="216"/>
        <v>0</v>
      </c>
      <c r="AH116">
        <f t="shared" si="217"/>
        <v>0</v>
      </c>
      <c r="AI116">
        <f t="shared" si="218"/>
        <v>0</v>
      </c>
      <c r="AJ116">
        <f t="shared" si="219"/>
        <v>0</v>
      </c>
      <c r="AK116">
        <f t="shared" si="220"/>
        <v>0</v>
      </c>
      <c r="AL116">
        <f t="shared" si="221"/>
        <v>0</v>
      </c>
      <c r="AM116">
        <f t="shared" si="222"/>
        <v>0</v>
      </c>
      <c r="AN116">
        <f t="shared" si="223"/>
        <v>0</v>
      </c>
      <c r="AO116">
        <f t="shared" si="224"/>
        <v>0</v>
      </c>
      <c r="AP116" s="2" t="str">
        <f t="shared" si="160"/>
        <v/>
      </c>
      <c r="AQ116" t="str">
        <f t="shared" si="225"/>
        <v>S</v>
      </c>
      <c r="AR116" t="str">
        <f t="shared" si="226"/>
        <v>S</v>
      </c>
      <c r="AS116" t="str">
        <f t="shared" si="227"/>
        <v>S</v>
      </c>
      <c r="AT116" t="str">
        <f t="shared" si="228"/>
        <v>+</v>
      </c>
      <c r="AU116" t="str">
        <f t="shared" si="229"/>
        <v/>
      </c>
      <c r="AV116" t="str">
        <f t="shared" si="230"/>
        <v/>
      </c>
      <c r="AW116" t="str">
        <f t="shared" si="231"/>
        <v/>
      </c>
      <c r="AX116" t="str">
        <f t="shared" si="232"/>
        <v/>
      </c>
      <c r="AY116" t="str">
        <f t="shared" si="233"/>
        <v/>
      </c>
      <c r="AZ116" t="str">
        <f t="shared" si="234"/>
        <v/>
      </c>
      <c r="BA116" t="str">
        <f t="shared" si="235"/>
        <v/>
      </c>
      <c r="BB116" t="str">
        <f t="shared" si="236"/>
        <v/>
      </c>
      <c r="BC116" t="str">
        <f t="shared" si="237"/>
        <v/>
      </c>
      <c r="BD116" t="str">
        <f t="shared" si="238"/>
        <v/>
      </c>
      <c r="BE116" t="str">
        <f t="shared" si="239"/>
        <v/>
      </c>
      <c r="BF116" t="str">
        <f t="shared" si="240"/>
        <v/>
      </c>
      <c r="BG116" t="str">
        <f t="shared" si="241"/>
        <v/>
      </c>
      <c r="BH116" t="str">
        <f t="shared" si="242"/>
        <v/>
      </c>
      <c r="BI116" t="str">
        <f t="shared" si="243"/>
        <v/>
      </c>
      <c r="BK116">
        <f t="shared" si="161"/>
        <v>1</v>
      </c>
      <c r="BL116">
        <f t="shared" si="162"/>
        <v>6</v>
      </c>
      <c r="BM116">
        <f t="shared" si="163"/>
        <v>3</v>
      </c>
      <c r="BN116">
        <f t="shared" si="164"/>
        <v>2</v>
      </c>
      <c r="BO116">
        <f t="shared" si="165"/>
        <v>0</v>
      </c>
      <c r="BP116">
        <f t="shared" si="166"/>
        <v>0</v>
      </c>
      <c r="BQ116">
        <f t="shared" si="167"/>
        <v>0</v>
      </c>
      <c r="BR116">
        <f t="shared" si="168"/>
        <v>0</v>
      </c>
      <c r="BS116">
        <f t="shared" si="169"/>
        <v>0</v>
      </c>
      <c r="BT116">
        <f t="shared" si="170"/>
        <v>0</v>
      </c>
      <c r="BU116">
        <f t="shared" si="171"/>
        <v>0</v>
      </c>
      <c r="BV116">
        <f t="shared" si="172"/>
        <v>0</v>
      </c>
      <c r="BW116">
        <f t="shared" si="173"/>
        <v>0</v>
      </c>
      <c r="BX116">
        <f t="shared" si="174"/>
        <v>0</v>
      </c>
      <c r="BY116">
        <f t="shared" si="175"/>
        <v>0</v>
      </c>
      <c r="BZ116">
        <f t="shared" si="176"/>
        <v>0</v>
      </c>
      <c r="CA116">
        <f t="shared" si="177"/>
        <v>0</v>
      </c>
      <c r="CB116">
        <f t="shared" si="178"/>
        <v>0</v>
      </c>
      <c r="CC116">
        <f t="shared" si="179"/>
        <v>0</v>
      </c>
      <c r="CE116" t="str">
        <f t="shared" si="180"/>
        <v>104</v>
      </c>
      <c r="CF116" t="str">
        <f t="shared" si="181"/>
        <v>00</v>
      </c>
      <c r="CG116" t="str">
        <f t="shared" si="181"/>
        <v>00</v>
      </c>
      <c r="CH116" t="str">
        <f t="shared" si="181"/>
        <v>00</v>
      </c>
      <c r="CI116" t="str">
        <f t="shared" si="182"/>
        <v>01</v>
      </c>
      <c r="CJ116" t="str">
        <f t="shared" si="183"/>
        <v>06</v>
      </c>
      <c r="CK116" t="str">
        <f t="shared" si="184"/>
        <v>03</v>
      </c>
      <c r="CL116" t="str">
        <f t="shared" si="185"/>
        <v>02</v>
      </c>
      <c r="CM116" t="str">
        <f t="shared" si="186"/>
        <v>00</v>
      </c>
      <c r="CN116" t="str">
        <f t="shared" si="187"/>
        <v>00</v>
      </c>
      <c r="CO116" t="str">
        <f t="shared" si="188"/>
        <v>00</v>
      </c>
      <c r="CP116" t="str">
        <f t="shared" si="189"/>
        <v>00</v>
      </c>
      <c r="CQ116" t="str">
        <f t="shared" si="190"/>
        <v>00</v>
      </c>
      <c r="CR116" t="str">
        <f t="shared" si="191"/>
        <v>00</v>
      </c>
      <c r="CS116" t="str">
        <f t="shared" si="192"/>
        <v>00</v>
      </c>
      <c r="CT116" t="str">
        <f t="shared" si="193"/>
        <v>00</v>
      </c>
      <c r="CU116" t="str">
        <f t="shared" si="194"/>
        <v>00</v>
      </c>
      <c r="CV116" t="str">
        <f t="shared" si="195"/>
        <v>00</v>
      </c>
      <c r="CW116" t="str">
        <f t="shared" si="196"/>
        <v>00</v>
      </c>
      <c r="CX116" t="str">
        <f t="shared" si="197"/>
        <v>00</v>
      </c>
      <c r="CY116" t="str">
        <f t="shared" si="198"/>
        <v>00</v>
      </c>
      <c r="CZ116" t="str">
        <f t="shared" si="199"/>
        <v>00</v>
      </c>
      <c r="DA116" t="str">
        <f t="shared" si="200"/>
        <v>00</v>
      </c>
      <c r="DB116" t="str">
        <f t="shared" si="201"/>
        <v>04</v>
      </c>
      <c r="DC116" t="str">
        <f t="shared" si="202"/>
        <v>0106030200000000000000000000000000000004</v>
      </c>
      <c r="DD116" t="str">
        <f t="shared" si="203"/>
        <v>Delete super user</v>
      </c>
      <c r="DE116" t="s">
        <v>220</v>
      </c>
      <c r="DF116" t="s">
        <v>223</v>
      </c>
      <c r="DG116" t="s">
        <v>224</v>
      </c>
      <c r="DH116" t="s">
        <v>225</v>
      </c>
      <c r="DI116" t="s">
        <v>226</v>
      </c>
      <c r="DJ116" t="s">
        <v>227</v>
      </c>
      <c r="DK116" t="s">
        <v>228</v>
      </c>
      <c r="DL116" t="str">
        <f t="shared" si="204"/>
        <v>104,00,00,00,01,06,03,02,00,00,00,00,00,00,00,00,00,00,00,00,00,00,00,04,0106030200000000000000000000000000000004,Delete super user,file104,Blk1,Blk2,Blk3,Blk4,Blk5,Blk6</v>
      </c>
    </row>
    <row r="117" spans="2:116" x14ac:dyDescent="0.25">
      <c r="B117">
        <f t="shared" si="205"/>
        <v>105</v>
      </c>
      <c r="F117" t="s">
        <v>117</v>
      </c>
      <c r="W117">
        <f t="shared" si="206"/>
        <v>0</v>
      </c>
      <c r="X117">
        <f t="shared" si="207"/>
        <v>0</v>
      </c>
      <c r="Y117">
        <f t="shared" si="208"/>
        <v>0</v>
      </c>
      <c r="Z117">
        <f t="shared" si="209"/>
        <v>1</v>
      </c>
      <c r="AA117">
        <f t="shared" si="210"/>
        <v>0</v>
      </c>
      <c r="AB117">
        <f t="shared" si="211"/>
        <v>0</v>
      </c>
      <c r="AC117">
        <f t="shared" si="212"/>
        <v>0</v>
      </c>
      <c r="AD117">
        <f t="shared" si="213"/>
        <v>0</v>
      </c>
      <c r="AE117">
        <f t="shared" si="214"/>
        <v>0</v>
      </c>
      <c r="AF117">
        <f t="shared" si="215"/>
        <v>0</v>
      </c>
      <c r="AG117">
        <f t="shared" si="216"/>
        <v>0</v>
      </c>
      <c r="AH117">
        <f t="shared" si="217"/>
        <v>0</v>
      </c>
      <c r="AI117">
        <f t="shared" si="218"/>
        <v>0</v>
      </c>
      <c r="AJ117">
        <f t="shared" si="219"/>
        <v>0</v>
      </c>
      <c r="AK117">
        <f t="shared" si="220"/>
        <v>0</v>
      </c>
      <c r="AL117">
        <f t="shared" si="221"/>
        <v>0</v>
      </c>
      <c r="AM117">
        <f t="shared" si="222"/>
        <v>0</v>
      </c>
      <c r="AN117">
        <f t="shared" si="223"/>
        <v>0</v>
      </c>
      <c r="AO117">
        <f t="shared" si="224"/>
        <v>0</v>
      </c>
      <c r="AP117" s="2" t="str">
        <f t="shared" si="160"/>
        <v/>
      </c>
      <c r="AQ117" t="str">
        <f t="shared" si="225"/>
        <v>S</v>
      </c>
      <c r="AR117" t="str">
        <f t="shared" si="226"/>
        <v>S</v>
      </c>
      <c r="AS117" t="str">
        <f t="shared" si="227"/>
        <v>S</v>
      </c>
      <c r="AT117" t="str">
        <f t="shared" si="228"/>
        <v>+</v>
      </c>
      <c r="AU117" t="str">
        <f t="shared" si="229"/>
        <v/>
      </c>
      <c r="AV117" t="str">
        <f t="shared" si="230"/>
        <v/>
      </c>
      <c r="AW117" t="str">
        <f t="shared" si="231"/>
        <v/>
      </c>
      <c r="AX117" t="str">
        <f t="shared" si="232"/>
        <v/>
      </c>
      <c r="AY117" t="str">
        <f t="shared" si="233"/>
        <v/>
      </c>
      <c r="AZ117" t="str">
        <f t="shared" si="234"/>
        <v/>
      </c>
      <c r="BA117" t="str">
        <f t="shared" si="235"/>
        <v/>
      </c>
      <c r="BB117" t="str">
        <f t="shared" si="236"/>
        <v/>
      </c>
      <c r="BC117" t="str">
        <f t="shared" si="237"/>
        <v/>
      </c>
      <c r="BD117" t="str">
        <f t="shared" si="238"/>
        <v/>
      </c>
      <c r="BE117" t="str">
        <f t="shared" si="239"/>
        <v/>
      </c>
      <c r="BF117" t="str">
        <f t="shared" si="240"/>
        <v/>
      </c>
      <c r="BG117" t="str">
        <f t="shared" si="241"/>
        <v/>
      </c>
      <c r="BH117" t="str">
        <f t="shared" si="242"/>
        <v/>
      </c>
      <c r="BI117" t="str">
        <f t="shared" si="243"/>
        <v/>
      </c>
      <c r="BK117">
        <f t="shared" si="161"/>
        <v>1</v>
      </c>
      <c r="BL117">
        <f t="shared" si="162"/>
        <v>6</v>
      </c>
      <c r="BM117">
        <f t="shared" si="163"/>
        <v>3</v>
      </c>
      <c r="BN117">
        <f t="shared" si="164"/>
        <v>3</v>
      </c>
      <c r="BO117">
        <f t="shared" si="165"/>
        <v>0</v>
      </c>
      <c r="BP117">
        <f t="shared" si="166"/>
        <v>0</v>
      </c>
      <c r="BQ117">
        <f t="shared" si="167"/>
        <v>0</v>
      </c>
      <c r="BR117">
        <f t="shared" si="168"/>
        <v>0</v>
      </c>
      <c r="BS117">
        <f t="shared" si="169"/>
        <v>0</v>
      </c>
      <c r="BT117">
        <f t="shared" si="170"/>
        <v>0</v>
      </c>
      <c r="BU117">
        <f t="shared" si="171"/>
        <v>0</v>
      </c>
      <c r="BV117">
        <f t="shared" si="172"/>
        <v>0</v>
      </c>
      <c r="BW117">
        <f t="shared" si="173"/>
        <v>0</v>
      </c>
      <c r="BX117">
        <f t="shared" si="174"/>
        <v>0</v>
      </c>
      <c r="BY117">
        <f t="shared" si="175"/>
        <v>0</v>
      </c>
      <c r="BZ117">
        <f t="shared" si="176"/>
        <v>0</v>
      </c>
      <c r="CA117">
        <f t="shared" si="177"/>
        <v>0</v>
      </c>
      <c r="CB117">
        <f t="shared" si="178"/>
        <v>0</v>
      </c>
      <c r="CC117">
        <f t="shared" si="179"/>
        <v>0</v>
      </c>
      <c r="CE117" t="str">
        <f t="shared" si="180"/>
        <v>105</v>
      </c>
      <c r="CF117" t="str">
        <f t="shared" si="181"/>
        <v>00</v>
      </c>
      <c r="CG117" t="str">
        <f t="shared" si="181"/>
        <v>00</v>
      </c>
      <c r="CH117" t="str">
        <f t="shared" si="181"/>
        <v>00</v>
      </c>
      <c r="CI117" t="str">
        <f t="shared" si="182"/>
        <v>01</v>
      </c>
      <c r="CJ117" t="str">
        <f t="shared" si="183"/>
        <v>06</v>
      </c>
      <c r="CK117" t="str">
        <f t="shared" si="184"/>
        <v>03</v>
      </c>
      <c r="CL117" t="str">
        <f t="shared" si="185"/>
        <v>03</v>
      </c>
      <c r="CM117" t="str">
        <f t="shared" si="186"/>
        <v>00</v>
      </c>
      <c r="CN117" t="str">
        <f t="shared" si="187"/>
        <v>00</v>
      </c>
      <c r="CO117" t="str">
        <f t="shared" si="188"/>
        <v>00</v>
      </c>
      <c r="CP117" t="str">
        <f t="shared" si="189"/>
        <v>00</v>
      </c>
      <c r="CQ117" t="str">
        <f t="shared" si="190"/>
        <v>00</v>
      </c>
      <c r="CR117" t="str">
        <f t="shared" si="191"/>
        <v>00</v>
      </c>
      <c r="CS117" t="str">
        <f t="shared" si="192"/>
        <v>00</v>
      </c>
      <c r="CT117" t="str">
        <f t="shared" si="193"/>
        <v>00</v>
      </c>
      <c r="CU117" t="str">
        <f t="shared" si="194"/>
        <v>00</v>
      </c>
      <c r="CV117" t="str">
        <f t="shared" si="195"/>
        <v>00</v>
      </c>
      <c r="CW117" t="str">
        <f t="shared" si="196"/>
        <v>00</v>
      </c>
      <c r="CX117" t="str">
        <f t="shared" si="197"/>
        <v>00</v>
      </c>
      <c r="CY117" t="str">
        <f t="shared" si="198"/>
        <v>00</v>
      </c>
      <c r="CZ117" t="str">
        <f t="shared" si="199"/>
        <v>00</v>
      </c>
      <c r="DA117" t="str">
        <f t="shared" si="200"/>
        <v>00</v>
      </c>
      <c r="DB117" t="str">
        <f t="shared" si="201"/>
        <v>04</v>
      </c>
      <c r="DC117" t="str">
        <f t="shared" si="202"/>
        <v>0106030300000000000000000000000000000004</v>
      </c>
      <c r="DD117" t="str">
        <f t="shared" si="203"/>
        <v>Delete tetamu</v>
      </c>
      <c r="DE117" t="s">
        <v>221</v>
      </c>
      <c r="DF117" t="s">
        <v>223</v>
      </c>
      <c r="DG117" t="s">
        <v>224</v>
      </c>
      <c r="DH117" t="s">
        <v>225</v>
      </c>
      <c r="DI117" t="s">
        <v>226</v>
      </c>
      <c r="DJ117" t="s">
        <v>227</v>
      </c>
      <c r="DK117" t="s">
        <v>228</v>
      </c>
      <c r="DL117" t="str">
        <f t="shared" si="204"/>
        <v>105,00,00,00,01,06,03,03,00,00,00,00,00,00,00,00,00,00,00,00,00,00,00,04,0106030300000000000000000000000000000004,Delete tetamu,file105,Blk1,Blk2,Blk3,Blk4,Blk5,Blk6</v>
      </c>
    </row>
    <row r="118" spans="2:116" x14ac:dyDescent="0.25">
      <c r="B118">
        <f t="shared" si="205"/>
        <v>106</v>
      </c>
      <c r="F118" t="s">
        <v>118</v>
      </c>
      <c r="W118">
        <f t="shared" si="206"/>
        <v>0</v>
      </c>
      <c r="X118">
        <f t="shared" si="207"/>
        <v>0</v>
      </c>
      <c r="Y118">
        <f t="shared" si="208"/>
        <v>0</v>
      </c>
      <c r="Z118">
        <f t="shared" si="209"/>
        <v>1</v>
      </c>
      <c r="AA118">
        <f t="shared" si="210"/>
        <v>0</v>
      </c>
      <c r="AB118">
        <f t="shared" si="211"/>
        <v>0</v>
      </c>
      <c r="AC118">
        <f t="shared" si="212"/>
        <v>0</v>
      </c>
      <c r="AD118">
        <f t="shared" si="213"/>
        <v>0</v>
      </c>
      <c r="AE118">
        <f t="shared" si="214"/>
        <v>0</v>
      </c>
      <c r="AF118">
        <f t="shared" si="215"/>
        <v>0</v>
      </c>
      <c r="AG118">
        <f t="shared" si="216"/>
        <v>0</v>
      </c>
      <c r="AH118">
        <f t="shared" si="217"/>
        <v>0</v>
      </c>
      <c r="AI118">
        <f t="shared" si="218"/>
        <v>0</v>
      </c>
      <c r="AJ118">
        <f t="shared" si="219"/>
        <v>0</v>
      </c>
      <c r="AK118">
        <f t="shared" si="220"/>
        <v>0</v>
      </c>
      <c r="AL118">
        <f t="shared" si="221"/>
        <v>0</v>
      </c>
      <c r="AM118">
        <f t="shared" si="222"/>
        <v>0</v>
      </c>
      <c r="AN118">
        <f t="shared" si="223"/>
        <v>0</v>
      </c>
      <c r="AO118">
        <f t="shared" si="224"/>
        <v>0</v>
      </c>
      <c r="AP118" s="2" t="str">
        <f t="shared" si="160"/>
        <v/>
      </c>
      <c r="AQ118" t="str">
        <f t="shared" si="225"/>
        <v>S</v>
      </c>
      <c r="AR118" t="str">
        <f t="shared" si="226"/>
        <v>S</v>
      </c>
      <c r="AS118" t="str">
        <f t="shared" si="227"/>
        <v>S</v>
      </c>
      <c r="AT118" t="str">
        <f t="shared" si="228"/>
        <v>+</v>
      </c>
      <c r="AU118" t="str">
        <f t="shared" si="229"/>
        <v/>
      </c>
      <c r="AV118" t="str">
        <f t="shared" si="230"/>
        <v/>
      </c>
      <c r="AW118" t="str">
        <f t="shared" si="231"/>
        <v/>
      </c>
      <c r="AX118" t="str">
        <f t="shared" si="232"/>
        <v/>
      </c>
      <c r="AY118" t="str">
        <f t="shared" si="233"/>
        <v/>
      </c>
      <c r="AZ118" t="str">
        <f t="shared" si="234"/>
        <v/>
      </c>
      <c r="BA118" t="str">
        <f t="shared" si="235"/>
        <v/>
      </c>
      <c r="BB118" t="str">
        <f t="shared" si="236"/>
        <v/>
      </c>
      <c r="BC118" t="str">
        <f t="shared" si="237"/>
        <v/>
      </c>
      <c r="BD118" t="str">
        <f t="shared" si="238"/>
        <v/>
      </c>
      <c r="BE118" t="str">
        <f t="shared" si="239"/>
        <v/>
      </c>
      <c r="BF118" t="str">
        <f t="shared" si="240"/>
        <v/>
      </c>
      <c r="BG118" t="str">
        <f t="shared" si="241"/>
        <v/>
      </c>
      <c r="BH118" t="str">
        <f t="shared" si="242"/>
        <v/>
      </c>
      <c r="BI118" t="str">
        <f t="shared" si="243"/>
        <v/>
      </c>
      <c r="BK118">
        <f t="shared" si="161"/>
        <v>1</v>
      </c>
      <c r="BL118">
        <f t="shared" si="162"/>
        <v>6</v>
      </c>
      <c r="BM118">
        <f t="shared" si="163"/>
        <v>3</v>
      </c>
      <c r="BN118">
        <f t="shared" si="164"/>
        <v>4</v>
      </c>
      <c r="BO118">
        <f t="shared" si="165"/>
        <v>0</v>
      </c>
      <c r="BP118">
        <f t="shared" si="166"/>
        <v>0</v>
      </c>
      <c r="BQ118">
        <f t="shared" si="167"/>
        <v>0</v>
      </c>
      <c r="BR118">
        <f t="shared" si="168"/>
        <v>0</v>
      </c>
      <c r="BS118">
        <f t="shared" si="169"/>
        <v>0</v>
      </c>
      <c r="BT118">
        <f t="shared" si="170"/>
        <v>0</v>
      </c>
      <c r="BU118">
        <f t="shared" si="171"/>
        <v>0</v>
      </c>
      <c r="BV118">
        <f t="shared" si="172"/>
        <v>0</v>
      </c>
      <c r="BW118">
        <f t="shared" si="173"/>
        <v>0</v>
      </c>
      <c r="BX118">
        <f t="shared" si="174"/>
        <v>0</v>
      </c>
      <c r="BY118">
        <f t="shared" si="175"/>
        <v>0</v>
      </c>
      <c r="BZ118">
        <f t="shared" si="176"/>
        <v>0</v>
      </c>
      <c r="CA118">
        <f t="shared" si="177"/>
        <v>0</v>
      </c>
      <c r="CB118">
        <f t="shared" si="178"/>
        <v>0</v>
      </c>
      <c r="CC118">
        <f t="shared" si="179"/>
        <v>0</v>
      </c>
      <c r="CE118" t="str">
        <f t="shared" si="180"/>
        <v>106</v>
      </c>
      <c r="CF118" t="str">
        <f t="shared" si="181"/>
        <v>00</v>
      </c>
      <c r="CG118" t="str">
        <f t="shared" si="181"/>
        <v>00</v>
      </c>
      <c r="CH118" t="str">
        <f t="shared" si="181"/>
        <v>00</v>
      </c>
      <c r="CI118" t="str">
        <f t="shared" si="182"/>
        <v>01</v>
      </c>
      <c r="CJ118" t="str">
        <f t="shared" si="183"/>
        <v>06</v>
      </c>
      <c r="CK118" t="str">
        <f t="shared" si="184"/>
        <v>03</v>
      </c>
      <c r="CL118" t="str">
        <f t="shared" si="185"/>
        <v>04</v>
      </c>
      <c r="CM118" t="str">
        <f t="shared" si="186"/>
        <v>00</v>
      </c>
      <c r="CN118" t="str">
        <f t="shared" si="187"/>
        <v>00</v>
      </c>
      <c r="CO118" t="str">
        <f t="shared" si="188"/>
        <v>00</v>
      </c>
      <c r="CP118" t="str">
        <f t="shared" si="189"/>
        <v>00</v>
      </c>
      <c r="CQ118" t="str">
        <f t="shared" si="190"/>
        <v>00</v>
      </c>
      <c r="CR118" t="str">
        <f t="shared" si="191"/>
        <v>00</v>
      </c>
      <c r="CS118" t="str">
        <f t="shared" si="192"/>
        <v>00</v>
      </c>
      <c r="CT118" t="str">
        <f t="shared" si="193"/>
        <v>00</v>
      </c>
      <c r="CU118" t="str">
        <f t="shared" si="194"/>
        <v>00</v>
      </c>
      <c r="CV118" t="str">
        <f t="shared" si="195"/>
        <v>00</v>
      </c>
      <c r="CW118" t="str">
        <f t="shared" si="196"/>
        <v>00</v>
      </c>
      <c r="CX118" t="str">
        <f t="shared" si="197"/>
        <v>00</v>
      </c>
      <c r="CY118" t="str">
        <f t="shared" si="198"/>
        <v>00</v>
      </c>
      <c r="CZ118" t="str">
        <f t="shared" si="199"/>
        <v>00</v>
      </c>
      <c r="DA118" t="str">
        <f t="shared" si="200"/>
        <v>00</v>
      </c>
      <c r="DB118" t="str">
        <f t="shared" si="201"/>
        <v>04</v>
      </c>
      <c r="DC118" t="str">
        <f t="shared" si="202"/>
        <v>0106030400000000000000000000000000000004</v>
      </c>
      <c r="DD118" t="str">
        <f t="shared" si="203"/>
        <v>Delete aku</v>
      </c>
      <c r="DE118" t="s">
        <v>222</v>
      </c>
      <c r="DF118" t="s">
        <v>223</v>
      </c>
      <c r="DG118" t="s">
        <v>224</v>
      </c>
      <c r="DH118" t="s">
        <v>225</v>
      </c>
      <c r="DI118" t="s">
        <v>226</v>
      </c>
      <c r="DJ118" t="s">
        <v>227</v>
      </c>
      <c r="DK118" t="s">
        <v>228</v>
      </c>
      <c r="DL118" t="str">
        <f t="shared" si="204"/>
        <v>106,00,00,00,01,06,03,04,00,00,00,00,00,00,00,00,00,00,00,00,00,00,00,04,0106030400000000000000000000000000000004,Delete aku,file106,Blk1,Blk2,Blk3,Blk4,Blk5,Blk6</v>
      </c>
    </row>
    <row r="119" spans="2:116" x14ac:dyDescent="0.25">
      <c r="B119">
        <f t="shared" si="205"/>
        <v>107</v>
      </c>
      <c r="D119" t="s">
        <v>233</v>
      </c>
      <c r="W119">
        <f t="shared" ref="W119:W128" si="244">IF(C119&lt;&gt;"",1,0)</f>
        <v>0</v>
      </c>
      <c r="X119">
        <f t="shared" ref="X119:X128" si="245">IF(D119&lt;&gt;"",1,0)</f>
        <v>1</v>
      </c>
      <c r="Y119">
        <f t="shared" ref="Y119:Y128" si="246">IF(E119&lt;&gt;"",1,0)</f>
        <v>0</v>
      </c>
      <c r="Z119">
        <f t="shared" ref="Z119:Z128" si="247">IF(F119&lt;&gt;"",1,0)</f>
        <v>0</v>
      </c>
      <c r="AA119">
        <f t="shared" ref="AA119:AA128" si="248">IF(G119&lt;&gt;"",1,0)</f>
        <v>0</v>
      </c>
      <c r="AB119">
        <f t="shared" ref="AB119:AB128" si="249">IF(H119&lt;&gt;"",1,0)</f>
        <v>0</v>
      </c>
      <c r="AC119">
        <f t="shared" ref="AC119:AC128" si="250">IF(I119&lt;&gt;"",1,0)</f>
        <v>0</v>
      </c>
      <c r="AD119">
        <f t="shared" ref="AD119:AD128" si="251">IF(J119&lt;&gt;"",1,0)</f>
        <v>0</v>
      </c>
      <c r="AE119">
        <f t="shared" ref="AE119:AE128" si="252">IF(K119&lt;&gt;"",1,0)</f>
        <v>0</v>
      </c>
      <c r="AF119">
        <f t="shared" ref="AF119:AF128" si="253">IF(L119&lt;&gt;"",1,0)</f>
        <v>0</v>
      </c>
      <c r="AG119">
        <f t="shared" ref="AG119:AG128" si="254">IF(M119&lt;&gt;"",1,0)</f>
        <v>0</v>
      </c>
      <c r="AH119">
        <f t="shared" ref="AH119:AH128" si="255">IF(N119&lt;&gt;"",1,0)</f>
        <v>0</v>
      </c>
      <c r="AI119">
        <f t="shared" ref="AI119:AI128" si="256">IF(O119&lt;&gt;"",1,0)</f>
        <v>0</v>
      </c>
      <c r="AJ119">
        <f t="shared" ref="AJ119:AJ128" si="257">IF(P119&lt;&gt;"",1,0)</f>
        <v>0</v>
      </c>
      <c r="AK119">
        <f t="shared" ref="AK119:AK128" si="258">IF(Q119&lt;&gt;"",1,0)</f>
        <v>0</v>
      </c>
      <c r="AL119">
        <f t="shared" ref="AL119:AL128" si="259">IF(R119&lt;&gt;"",1,0)</f>
        <v>0</v>
      </c>
      <c r="AM119">
        <f t="shared" ref="AM119:AM128" si="260">IF(S119&lt;&gt;"",1,0)</f>
        <v>0</v>
      </c>
      <c r="AN119">
        <f t="shared" ref="AN119:AN128" si="261">IF(T119&lt;&gt;"",1,0)</f>
        <v>0</v>
      </c>
      <c r="AO119">
        <f t="shared" ref="AO119:AO128" si="262">IF(U119&lt;&gt;"",1,0)</f>
        <v>0</v>
      </c>
      <c r="AP119" s="2" t="str">
        <f t="shared" ref="AP119:AP128" si="263">IF(SUM(W119:AO119)&gt;1,"Error","")</f>
        <v/>
      </c>
      <c r="AQ119" t="str">
        <f t="shared" ref="AQ119:AQ128" si="264">IF(AND(W119=1,W118=1),"+",IF(AND(W119=1,W118=0),IF(AQ118="S","+",1),IF(AND(AQ118&lt;&gt;"",AR119&lt;&gt;""),"S","")))</f>
        <v>S</v>
      </c>
      <c r="AR119" t="str">
        <f t="shared" ref="AR119:AR128" si="265">IF(AND(X119=1,X118=1),"+",IF(AND(X119=1,X118=0),IF(AR118="S","+",1),IF(AND(AR118&lt;&gt;"",AS119&lt;&gt;""),"S","")))</f>
        <v>+</v>
      </c>
      <c r="AS119" t="str">
        <f t="shared" ref="AS119:AS128" si="266">IF(AND(Y119=1,Y118=1),"+",IF(AND(Y119=1,Y118=0),IF(AS118="S","+",1),IF(AND(AS118&lt;&gt;"",AT119&lt;&gt;""),"S","")))</f>
        <v/>
      </c>
      <c r="AT119" t="str">
        <f t="shared" ref="AT119:AT128" si="267">IF(AND(Z119=1,Z118=1),"+",IF(AND(Z119=1,Z118=0),IF(AT118="S","+",1),IF(AND(AT118&lt;&gt;"",AU119&lt;&gt;""),"S","")))</f>
        <v/>
      </c>
      <c r="AU119" t="str">
        <f t="shared" ref="AU119:AU128" si="268">IF(AND(AA119=1,AA118=1),"+",IF(AND(AA119=1,AA118=0),IF(AU118="S","+",1),IF(AND(AU118&lt;&gt;"",AV119&lt;&gt;""),"S","")))</f>
        <v/>
      </c>
      <c r="AV119" t="str">
        <f t="shared" ref="AV119:AV128" si="269">IF(AND(AB119=1,AB118=1),"+",IF(AND(AB119=1,AB118=0),IF(AV118="S","+",1),IF(AND(AV118&lt;&gt;"",AW119&lt;&gt;""),"S","")))</f>
        <v/>
      </c>
      <c r="AW119" t="str">
        <f t="shared" ref="AW119:AW128" si="270">IF(AND(AC119=1,AC118=1),"+",IF(AND(AC119=1,AC118=0),IF(AW118="S","+",1),IF(AND(AW118&lt;&gt;"",AX119&lt;&gt;""),"S","")))</f>
        <v/>
      </c>
      <c r="AX119" t="str">
        <f t="shared" ref="AX119:AX128" si="271">IF(AND(AD119=1,AD118=1),"+",IF(AND(AD119=1,AD118=0),IF(AX118="S","+",1),IF(AND(AX118&lt;&gt;"",AY119&lt;&gt;""),"S","")))</f>
        <v/>
      </c>
      <c r="AY119" t="str">
        <f t="shared" ref="AY119:AY128" si="272">IF(AND(AE119=1,AE118=1),"+",IF(AND(AE119=1,AE118=0),IF(AY118="S","+",1),IF(AND(AY118&lt;&gt;"",AZ119&lt;&gt;""),"S","")))</f>
        <v/>
      </c>
      <c r="AZ119" t="str">
        <f t="shared" ref="AZ119:AZ128" si="273">IF(AND(AF119=1,AF118=1),"+",IF(AND(AF119=1,AF118=0),IF(AZ118="S","+",1),IF(AND(AZ118&lt;&gt;"",BA119&lt;&gt;""),"S","")))</f>
        <v/>
      </c>
      <c r="BA119" t="str">
        <f t="shared" ref="BA119:BA128" si="274">IF(AND(AG119=1,AG118=1),"+",IF(AND(AG119=1,AG118=0),IF(BA118="S","+",1),IF(AND(BA118&lt;&gt;"",BB119&lt;&gt;""),"S","")))</f>
        <v/>
      </c>
      <c r="BB119" t="str">
        <f t="shared" ref="BB119:BB128" si="275">IF(AND(AH119=1,AH118=1),"+",IF(AND(AH119=1,AH118=0),IF(BB118="S","+",1),IF(AND(BB118&lt;&gt;"",BC119&lt;&gt;""),"S","")))</f>
        <v/>
      </c>
      <c r="BC119" t="str">
        <f t="shared" ref="BC119:BC128" si="276">IF(AND(AI119=1,AI118=1),"+",IF(AND(AI119=1,AI118=0),IF(BC118="S","+",1),IF(AND(BC118&lt;&gt;"",BD119&lt;&gt;""),"S","")))</f>
        <v/>
      </c>
      <c r="BD119" t="str">
        <f t="shared" ref="BD119:BD128" si="277">IF(AND(AJ119=1,AJ118=1),"+",IF(AND(AJ119=1,AJ118=0),IF(BD118="S","+",1),IF(AND(BD118&lt;&gt;"",BE119&lt;&gt;""),"S","")))</f>
        <v/>
      </c>
      <c r="BE119" t="str">
        <f t="shared" ref="BE119:BE128" si="278">IF(AND(AK119=1,AK118=1),"+",IF(AND(AK119=1,AK118=0),IF(BE118="S","+",1),IF(AND(BE118&lt;&gt;"",BF119&lt;&gt;""),"S","")))</f>
        <v/>
      </c>
      <c r="BF119" t="str">
        <f t="shared" ref="BF119:BF128" si="279">IF(AND(AL119=1,AL118=1),"+",IF(AND(AL119=1,AL118=0),IF(BF118="S","+",1),IF(AND(BF118&lt;&gt;"",BG119&lt;&gt;""),"S","")))</f>
        <v/>
      </c>
      <c r="BG119" t="str">
        <f t="shared" ref="BG119:BG128" si="280">IF(AND(AM119=1,AM118=1),"+",IF(AND(AM119=1,AM118=0),IF(BG118="S","+",1),IF(AND(BG118&lt;&gt;"",BH119&lt;&gt;""),"S","")))</f>
        <v/>
      </c>
      <c r="BH119" t="str">
        <f t="shared" ref="BH119:BH128" si="281">IF(AND(AN119=1,AN118=1),"+",IF(AND(AN119=1,AN118=0),IF(BH118="S","+",1),IF(AND(BH118&lt;&gt;"",BI119&lt;&gt;""),"S","")))</f>
        <v/>
      </c>
      <c r="BI119" t="str">
        <f t="shared" ref="BI119:BI128" si="282">IF(AND(AO119=1,AO118=1),"+",IF(AND(AO119=1,AO118=0),IF(BI118="S","+",1),IF(AND(BI118&lt;&gt;"",BJ119&lt;&gt;""),"S","")))</f>
        <v/>
      </c>
      <c r="BK119">
        <f t="shared" ref="BK119:BK128" si="283">IF(AQ119=1,1,IF(AQ119="S",BK118,IF(AQ119="+",BK118+1,0)))</f>
        <v>1</v>
      </c>
      <c r="BL119">
        <f t="shared" ref="BL119:BL128" si="284">IF(AR119=1,1,IF(AR119="S",BL118,IF(AR119="+",BL118+1,0)))</f>
        <v>7</v>
      </c>
      <c r="BM119">
        <f t="shared" ref="BM119:BM128" si="285">IF(AS119=1,1,IF(AS119="S",BM118,IF(AS119="+",BM118+1,0)))</f>
        <v>0</v>
      </c>
      <c r="BN119">
        <f t="shared" ref="BN119:BN128" si="286">IF(AT119=1,1,IF(AT119="S",BN118,IF(AT119="+",BN118+1,0)))</f>
        <v>0</v>
      </c>
      <c r="BO119">
        <f t="shared" ref="BO119:BO128" si="287">IF(AU119=1,1,IF(AU119="S",BO118,IF(AU119="+",BO118+1,0)))</f>
        <v>0</v>
      </c>
      <c r="BP119">
        <f t="shared" ref="BP119:BP128" si="288">IF(AV119=1,1,IF(AV119="S",BP118,IF(AV119="+",BP118+1,0)))</f>
        <v>0</v>
      </c>
      <c r="BQ119">
        <f t="shared" ref="BQ119:BQ128" si="289">IF(AW119=1,1,IF(AW119="S",BQ118,IF(AW119="+",BQ118+1,0)))</f>
        <v>0</v>
      </c>
      <c r="BR119">
        <f t="shared" ref="BR119:BR128" si="290">IF(AX119=1,1,IF(AX119="S",BR118,IF(AX119="+",BR118+1,0)))</f>
        <v>0</v>
      </c>
      <c r="BS119">
        <f t="shared" ref="BS119:BS128" si="291">IF(AY119=1,1,IF(AY119="S",BS118,IF(AY119="+",BS118+1,0)))</f>
        <v>0</v>
      </c>
      <c r="BT119">
        <f t="shared" ref="BT119:BT128" si="292">IF(AZ119=1,1,IF(AZ119="S",BT118,IF(AZ119="+",BT118+1,0)))</f>
        <v>0</v>
      </c>
      <c r="BU119">
        <f t="shared" ref="BU119:BU128" si="293">IF(BA119=1,1,IF(BA119="S",BU118,IF(BA119="+",BU118+1,0)))</f>
        <v>0</v>
      </c>
      <c r="BV119">
        <f t="shared" ref="BV119:BV128" si="294">IF(BB119=1,1,IF(BB119="S",BV118,IF(BB119="+",BV118+1,0)))</f>
        <v>0</v>
      </c>
      <c r="BW119">
        <f t="shared" ref="BW119:BW128" si="295">IF(BC119=1,1,IF(BC119="S",BW118,IF(BC119="+",BW118+1,0)))</f>
        <v>0</v>
      </c>
      <c r="BX119">
        <f t="shared" ref="BX119:BX128" si="296">IF(BD119=1,1,IF(BD119="S",BX118,IF(BD119="+",BX118+1,0)))</f>
        <v>0</v>
      </c>
      <c r="BY119">
        <f t="shared" ref="BY119:BY128" si="297">IF(BE119=1,1,IF(BE119="S",BY118,IF(BE119="+",BY118+1,0)))</f>
        <v>0</v>
      </c>
      <c r="BZ119">
        <f t="shared" ref="BZ119:BZ128" si="298">IF(BF119=1,1,IF(BF119="S",BZ118,IF(BF119="+",BZ118+1,0)))</f>
        <v>0</v>
      </c>
      <c r="CA119">
        <f t="shared" ref="CA119:CA128" si="299">IF(BG119=1,1,IF(BG119="S",CA118,IF(BG119="+",CA118+1,0)))</f>
        <v>0</v>
      </c>
      <c r="CB119">
        <f t="shared" ref="CB119:CB128" si="300">IF(BH119=1,1,IF(BH119="S",CB118,IF(BH119="+",CB118+1,0)))</f>
        <v>0</v>
      </c>
      <c r="CC119">
        <f t="shared" ref="CC119:CC128" si="301">IF(BI119=1,1,IF(BI119="S",CC118,IF(BI119="+",CC118+1,0)))</f>
        <v>0</v>
      </c>
      <c r="CE119" t="str">
        <f t="shared" ref="CE119:CE128" si="302">TEXT(B119,"000")</f>
        <v>107</v>
      </c>
      <c r="CF119" t="str">
        <f t="shared" si="181"/>
        <v>00</v>
      </c>
      <c r="CG119" t="str">
        <f t="shared" si="181"/>
        <v>00</v>
      </c>
      <c r="CH119" t="str">
        <f t="shared" si="181"/>
        <v>00</v>
      </c>
      <c r="CI119" t="str">
        <f t="shared" ref="CI119:CI128" si="303">TEXT(BK119,"00")</f>
        <v>01</v>
      </c>
      <c r="CJ119" t="str">
        <f t="shared" ref="CJ119:CJ128" si="304">TEXT(BL119,"00")</f>
        <v>07</v>
      </c>
      <c r="CK119" t="str">
        <f t="shared" ref="CK119:CK128" si="305">TEXT(BM119,"00")</f>
        <v>00</v>
      </c>
      <c r="CL119" t="str">
        <f t="shared" ref="CL119:CL128" si="306">TEXT(BN119,"00")</f>
        <v>00</v>
      </c>
      <c r="CM119" t="str">
        <f t="shared" ref="CM119:CM128" si="307">TEXT(BO119,"00")</f>
        <v>00</v>
      </c>
      <c r="CN119" t="str">
        <f t="shared" ref="CN119:CN128" si="308">TEXT(BP119,"00")</f>
        <v>00</v>
      </c>
      <c r="CO119" t="str">
        <f t="shared" ref="CO119:CO128" si="309">TEXT(BQ119,"00")</f>
        <v>00</v>
      </c>
      <c r="CP119" t="str">
        <f t="shared" ref="CP119:CP128" si="310">TEXT(BR119,"00")</f>
        <v>00</v>
      </c>
      <c r="CQ119" t="str">
        <f t="shared" ref="CQ119:CQ128" si="311">TEXT(BS119,"00")</f>
        <v>00</v>
      </c>
      <c r="CR119" t="str">
        <f t="shared" ref="CR119:CR128" si="312">TEXT(BT119,"00")</f>
        <v>00</v>
      </c>
      <c r="CS119" t="str">
        <f t="shared" ref="CS119:CS128" si="313">TEXT(BU119,"00")</f>
        <v>00</v>
      </c>
      <c r="CT119" t="str">
        <f t="shared" ref="CT119:CT128" si="314">TEXT(BV119,"00")</f>
        <v>00</v>
      </c>
      <c r="CU119" t="str">
        <f t="shared" ref="CU119:CU128" si="315">TEXT(BW119,"00")</f>
        <v>00</v>
      </c>
      <c r="CV119" t="str">
        <f t="shared" ref="CV119:CV128" si="316">TEXT(BX119,"00")</f>
        <v>00</v>
      </c>
      <c r="CW119" t="str">
        <f t="shared" ref="CW119:CW128" si="317">TEXT(BY119,"00")</f>
        <v>00</v>
      </c>
      <c r="CX119" t="str">
        <f t="shared" ref="CX119:CX128" si="318">TEXT(BZ119,"00")</f>
        <v>00</v>
      </c>
      <c r="CY119" t="str">
        <f t="shared" ref="CY119:CY128" si="319">TEXT(CA119,"00")</f>
        <v>00</v>
      </c>
      <c r="CZ119" t="str">
        <f t="shared" ref="CZ119:CZ128" si="320">TEXT(CB119,"00")</f>
        <v>00</v>
      </c>
      <c r="DA119" t="str">
        <f t="shared" ref="DA119:DA128" si="321">TEXT(CC119,"00")</f>
        <v>00</v>
      </c>
      <c r="DB119" t="str">
        <f t="shared" ref="DB119:DB128" si="322">TEXT(19-COUNTIF(CI119:DA119,"=00"),"00")</f>
        <v>02</v>
      </c>
      <c r="DC119" t="str">
        <f t="shared" ref="DC119:DC126" si="323">_xlfn.CONCAT(CI119:DB119)</f>
        <v>0107000000000000000000000000000000000002</v>
      </c>
      <c r="DD119" t="str">
        <f t="shared" ref="DD119:DD126" si="324">_xlfn.CONCAT(C119:U119)</f>
        <v>Profile</v>
      </c>
      <c r="DE119" t="s">
        <v>242</v>
      </c>
      <c r="DF119" t="s">
        <v>223</v>
      </c>
      <c r="DG119" t="s">
        <v>224</v>
      </c>
      <c r="DH119" t="s">
        <v>225</v>
      </c>
      <c r="DI119" t="s">
        <v>226</v>
      </c>
      <c r="DJ119" t="s">
        <v>227</v>
      </c>
      <c r="DK119" t="s">
        <v>228</v>
      </c>
      <c r="DL119" t="str">
        <f t="shared" ref="DL119:DL126" si="325">_xlfn.TEXTJOIN(",", TRUE,CE119:DK119)</f>
        <v>107,00,00,00,01,07,00,00,00,00,00,00,00,00,00,00,00,00,00,00,00,00,00,02,0107000000000000000000000000000000000002,Profile,file107,Blk1,Blk2,Blk3,Blk4,Blk5,Blk6</v>
      </c>
    </row>
    <row r="120" spans="2:116" x14ac:dyDescent="0.25">
      <c r="B120">
        <f t="shared" si="205"/>
        <v>108</v>
      </c>
      <c r="E120" t="s">
        <v>234</v>
      </c>
      <c r="W120">
        <f t="shared" si="244"/>
        <v>0</v>
      </c>
      <c r="X120">
        <f t="shared" si="245"/>
        <v>0</v>
      </c>
      <c r="Y120">
        <f t="shared" si="246"/>
        <v>1</v>
      </c>
      <c r="Z120">
        <f t="shared" si="247"/>
        <v>0</v>
      </c>
      <c r="AA120">
        <f t="shared" si="248"/>
        <v>0</v>
      </c>
      <c r="AB120">
        <f t="shared" si="249"/>
        <v>0</v>
      </c>
      <c r="AC120">
        <f t="shared" si="250"/>
        <v>0</v>
      </c>
      <c r="AD120">
        <f t="shared" si="251"/>
        <v>0</v>
      </c>
      <c r="AE120">
        <f t="shared" si="252"/>
        <v>0</v>
      </c>
      <c r="AF120">
        <f t="shared" si="253"/>
        <v>0</v>
      </c>
      <c r="AG120">
        <f t="shared" si="254"/>
        <v>0</v>
      </c>
      <c r="AH120">
        <f t="shared" si="255"/>
        <v>0</v>
      </c>
      <c r="AI120">
        <f t="shared" si="256"/>
        <v>0</v>
      </c>
      <c r="AJ120">
        <f t="shared" si="257"/>
        <v>0</v>
      </c>
      <c r="AK120">
        <f t="shared" si="258"/>
        <v>0</v>
      </c>
      <c r="AL120">
        <f t="shared" si="259"/>
        <v>0</v>
      </c>
      <c r="AM120">
        <f t="shared" si="260"/>
        <v>0</v>
      </c>
      <c r="AN120">
        <f t="shared" si="261"/>
        <v>0</v>
      </c>
      <c r="AO120">
        <f t="shared" si="262"/>
        <v>0</v>
      </c>
      <c r="AP120" s="2" t="str">
        <f t="shared" si="263"/>
        <v/>
      </c>
      <c r="AQ120" t="str">
        <f t="shared" si="264"/>
        <v>S</v>
      </c>
      <c r="AR120" t="str">
        <f t="shared" si="265"/>
        <v>S</v>
      </c>
      <c r="AS120">
        <f t="shared" si="266"/>
        <v>1</v>
      </c>
      <c r="AT120" t="str">
        <f t="shared" si="267"/>
        <v/>
      </c>
      <c r="AU120" t="str">
        <f t="shared" si="268"/>
        <v/>
      </c>
      <c r="AV120" t="str">
        <f t="shared" si="269"/>
        <v/>
      </c>
      <c r="AW120" t="str">
        <f t="shared" si="270"/>
        <v/>
      </c>
      <c r="AX120" t="str">
        <f t="shared" si="271"/>
        <v/>
      </c>
      <c r="AY120" t="str">
        <f t="shared" si="272"/>
        <v/>
      </c>
      <c r="AZ120" t="str">
        <f t="shared" si="273"/>
        <v/>
      </c>
      <c r="BA120" t="str">
        <f t="shared" si="274"/>
        <v/>
      </c>
      <c r="BB120" t="str">
        <f t="shared" si="275"/>
        <v/>
      </c>
      <c r="BC120" t="str">
        <f t="shared" si="276"/>
        <v/>
      </c>
      <c r="BD120" t="str">
        <f t="shared" si="277"/>
        <v/>
      </c>
      <c r="BE120" t="str">
        <f t="shared" si="278"/>
        <v/>
      </c>
      <c r="BF120" t="str">
        <f t="shared" si="279"/>
        <v/>
      </c>
      <c r="BG120" t="str">
        <f t="shared" si="280"/>
        <v/>
      </c>
      <c r="BH120" t="str">
        <f t="shared" si="281"/>
        <v/>
      </c>
      <c r="BI120" t="str">
        <f t="shared" si="282"/>
        <v/>
      </c>
      <c r="BK120">
        <f t="shared" si="283"/>
        <v>1</v>
      </c>
      <c r="BL120">
        <f t="shared" si="284"/>
        <v>7</v>
      </c>
      <c r="BM120">
        <f t="shared" si="285"/>
        <v>1</v>
      </c>
      <c r="BN120">
        <f t="shared" si="286"/>
        <v>0</v>
      </c>
      <c r="BO120">
        <f t="shared" si="287"/>
        <v>0</v>
      </c>
      <c r="BP120">
        <f t="shared" si="288"/>
        <v>0</v>
      </c>
      <c r="BQ120">
        <f t="shared" si="289"/>
        <v>0</v>
      </c>
      <c r="BR120">
        <f t="shared" si="290"/>
        <v>0</v>
      </c>
      <c r="BS120">
        <f t="shared" si="291"/>
        <v>0</v>
      </c>
      <c r="BT120">
        <f t="shared" si="292"/>
        <v>0</v>
      </c>
      <c r="BU120">
        <f t="shared" si="293"/>
        <v>0</v>
      </c>
      <c r="BV120">
        <f t="shared" si="294"/>
        <v>0</v>
      </c>
      <c r="BW120">
        <f t="shared" si="295"/>
        <v>0</v>
      </c>
      <c r="BX120">
        <f t="shared" si="296"/>
        <v>0</v>
      </c>
      <c r="BY120">
        <f t="shared" si="297"/>
        <v>0</v>
      </c>
      <c r="BZ120">
        <f t="shared" si="298"/>
        <v>0</v>
      </c>
      <c r="CA120">
        <f t="shared" si="299"/>
        <v>0</v>
      </c>
      <c r="CB120">
        <f t="shared" si="300"/>
        <v>0</v>
      </c>
      <c r="CC120">
        <f t="shared" si="301"/>
        <v>0</v>
      </c>
      <c r="CE120" t="str">
        <f t="shared" si="302"/>
        <v>108</v>
      </c>
      <c r="CF120" t="str">
        <f t="shared" ref="CF120:CH128" si="326">TEXT(0,"00")</f>
        <v>00</v>
      </c>
      <c r="CG120" t="str">
        <f t="shared" si="326"/>
        <v>00</v>
      </c>
      <c r="CH120" t="str">
        <f t="shared" si="326"/>
        <v>00</v>
      </c>
      <c r="CI120" t="str">
        <f t="shared" si="303"/>
        <v>01</v>
      </c>
      <c r="CJ120" t="str">
        <f t="shared" si="304"/>
        <v>07</v>
      </c>
      <c r="CK120" t="str">
        <f t="shared" si="305"/>
        <v>01</v>
      </c>
      <c r="CL120" t="str">
        <f t="shared" si="306"/>
        <v>00</v>
      </c>
      <c r="CM120" t="str">
        <f t="shared" si="307"/>
        <v>00</v>
      </c>
      <c r="CN120" t="str">
        <f t="shared" si="308"/>
        <v>00</v>
      </c>
      <c r="CO120" t="str">
        <f t="shared" si="309"/>
        <v>00</v>
      </c>
      <c r="CP120" t="str">
        <f t="shared" si="310"/>
        <v>00</v>
      </c>
      <c r="CQ120" t="str">
        <f t="shared" si="311"/>
        <v>00</v>
      </c>
      <c r="CR120" t="str">
        <f t="shared" si="312"/>
        <v>00</v>
      </c>
      <c r="CS120" t="str">
        <f t="shared" si="313"/>
        <v>00</v>
      </c>
      <c r="CT120" t="str">
        <f t="shared" si="314"/>
        <v>00</v>
      </c>
      <c r="CU120" t="str">
        <f t="shared" si="315"/>
        <v>00</v>
      </c>
      <c r="CV120" t="str">
        <f t="shared" si="316"/>
        <v>00</v>
      </c>
      <c r="CW120" t="str">
        <f t="shared" si="317"/>
        <v>00</v>
      </c>
      <c r="CX120" t="str">
        <f t="shared" si="318"/>
        <v>00</v>
      </c>
      <c r="CY120" t="str">
        <f t="shared" si="319"/>
        <v>00</v>
      </c>
      <c r="CZ120" t="str">
        <f t="shared" si="320"/>
        <v>00</v>
      </c>
      <c r="DA120" t="str">
        <f t="shared" si="321"/>
        <v>00</v>
      </c>
      <c r="DB120" t="str">
        <f t="shared" si="322"/>
        <v>03</v>
      </c>
      <c r="DC120" t="str">
        <f t="shared" si="323"/>
        <v>0107010000000000000000000000000000000003</v>
      </c>
      <c r="DD120" t="str">
        <f t="shared" si="324"/>
        <v>Personal</v>
      </c>
      <c r="DE120" t="s">
        <v>251</v>
      </c>
      <c r="DF120" t="s">
        <v>223</v>
      </c>
      <c r="DG120" t="s">
        <v>224</v>
      </c>
      <c r="DH120" t="s">
        <v>225</v>
      </c>
      <c r="DI120" t="s">
        <v>226</v>
      </c>
      <c r="DJ120" t="s">
        <v>227</v>
      </c>
      <c r="DK120" t="s">
        <v>228</v>
      </c>
      <c r="DL120" t="str">
        <f t="shared" si="325"/>
        <v>108,00,00,00,01,07,01,00,00,00,00,00,00,00,00,00,00,00,00,00,00,00,00,03,0107010000000000000000000000000000000003,Personal,subpages/profile/personal/personal.php,Blk1,Blk2,Blk3,Blk4,Blk5,Blk6</v>
      </c>
    </row>
    <row r="121" spans="2:116" x14ac:dyDescent="0.25">
      <c r="B121">
        <f t="shared" si="205"/>
        <v>109</v>
      </c>
      <c r="E121" t="s">
        <v>235</v>
      </c>
      <c r="W121">
        <f t="shared" si="244"/>
        <v>0</v>
      </c>
      <c r="X121">
        <f t="shared" si="245"/>
        <v>0</v>
      </c>
      <c r="Y121">
        <f t="shared" si="246"/>
        <v>1</v>
      </c>
      <c r="Z121">
        <f t="shared" si="247"/>
        <v>0</v>
      </c>
      <c r="AA121">
        <f t="shared" si="248"/>
        <v>0</v>
      </c>
      <c r="AB121">
        <f t="shared" si="249"/>
        <v>0</v>
      </c>
      <c r="AC121">
        <f t="shared" si="250"/>
        <v>0</v>
      </c>
      <c r="AD121">
        <f t="shared" si="251"/>
        <v>0</v>
      </c>
      <c r="AE121">
        <f t="shared" si="252"/>
        <v>0</v>
      </c>
      <c r="AF121">
        <f t="shared" si="253"/>
        <v>0</v>
      </c>
      <c r="AG121">
        <f t="shared" si="254"/>
        <v>0</v>
      </c>
      <c r="AH121">
        <f t="shared" si="255"/>
        <v>0</v>
      </c>
      <c r="AI121">
        <f t="shared" si="256"/>
        <v>0</v>
      </c>
      <c r="AJ121">
        <f t="shared" si="257"/>
        <v>0</v>
      </c>
      <c r="AK121">
        <f t="shared" si="258"/>
        <v>0</v>
      </c>
      <c r="AL121">
        <f t="shared" si="259"/>
        <v>0</v>
      </c>
      <c r="AM121">
        <f t="shared" si="260"/>
        <v>0</v>
      </c>
      <c r="AN121">
        <f t="shared" si="261"/>
        <v>0</v>
      </c>
      <c r="AO121">
        <f t="shared" si="262"/>
        <v>0</v>
      </c>
      <c r="AP121" s="2" t="str">
        <f t="shared" si="263"/>
        <v/>
      </c>
      <c r="AQ121" t="str">
        <f t="shared" si="264"/>
        <v>S</v>
      </c>
      <c r="AR121" t="str">
        <f t="shared" si="265"/>
        <v>S</v>
      </c>
      <c r="AS121" t="str">
        <f t="shared" si="266"/>
        <v>+</v>
      </c>
      <c r="AT121" t="str">
        <f t="shared" si="267"/>
        <v/>
      </c>
      <c r="AU121" t="str">
        <f t="shared" si="268"/>
        <v/>
      </c>
      <c r="AV121" t="str">
        <f t="shared" si="269"/>
        <v/>
      </c>
      <c r="AW121" t="str">
        <f t="shared" si="270"/>
        <v/>
      </c>
      <c r="AX121" t="str">
        <f t="shared" si="271"/>
        <v/>
      </c>
      <c r="AY121" t="str">
        <f t="shared" si="272"/>
        <v/>
      </c>
      <c r="AZ121" t="str">
        <f t="shared" si="273"/>
        <v/>
      </c>
      <c r="BA121" t="str">
        <f t="shared" si="274"/>
        <v/>
      </c>
      <c r="BB121" t="str">
        <f t="shared" si="275"/>
        <v/>
      </c>
      <c r="BC121" t="str">
        <f t="shared" si="276"/>
        <v/>
      </c>
      <c r="BD121" t="str">
        <f t="shared" si="277"/>
        <v/>
      </c>
      <c r="BE121" t="str">
        <f t="shared" si="278"/>
        <v/>
      </c>
      <c r="BF121" t="str">
        <f t="shared" si="279"/>
        <v/>
      </c>
      <c r="BG121" t="str">
        <f t="shared" si="280"/>
        <v/>
      </c>
      <c r="BH121" t="str">
        <f t="shared" si="281"/>
        <v/>
      </c>
      <c r="BI121" t="str">
        <f t="shared" si="282"/>
        <v/>
      </c>
      <c r="BK121">
        <f t="shared" si="283"/>
        <v>1</v>
      </c>
      <c r="BL121">
        <f t="shared" si="284"/>
        <v>7</v>
      </c>
      <c r="BM121">
        <f t="shared" si="285"/>
        <v>2</v>
      </c>
      <c r="BN121">
        <f t="shared" si="286"/>
        <v>0</v>
      </c>
      <c r="BO121">
        <f t="shared" si="287"/>
        <v>0</v>
      </c>
      <c r="BP121">
        <f t="shared" si="288"/>
        <v>0</v>
      </c>
      <c r="BQ121">
        <f t="shared" si="289"/>
        <v>0</v>
      </c>
      <c r="BR121">
        <f t="shared" si="290"/>
        <v>0</v>
      </c>
      <c r="BS121">
        <f t="shared" si="291"/>
        <v>0</v>
      </c>
      <c r="BT121">
        <f t="shared" si="292"/>
        <v>0</v>
      </c>
      <c r="BU121">
        <f t="shared" si="293"/>
        <v>0</v>
      </c>
      <c r="BV121">
        <f t="shared" si="294"/>
        <v>0</v>
      </c>
      <c r="BW121">
        <f t="shared" si="295"/>
        <v>0</v>
      </c>
      <c r="BX121">
        <f t="shared" si="296"/>
        <v>0</v>
      </c>
      <c r="BY121">
        <f t="shared" si="297"/>
        <v>0</v>
      </c>
      <c r="BZ121">
        <f t="shared" si="298"/>
        <v>0</v>
      </c>
      <c r="CA121">
        <f t="shared" si="299"/>
        <v>0</v>
      </c>
      <c r="CB121">
        <f t="shared" si="300"/>
        <v>0</v>
      </c>
      <c r="CC121">
        <f t="shared" si="301"/>
        <v>0</v>
      </c>
      <c r="CE121" t="str">
        <f t="shared" si="302"/>
        <v>109</v>
      </c>
      <c r="CF121" t="str">
        <f t="shared" si="326"/>
        <v>00</v>
      </c>
      <c r="CG121" t="str">
        <f t="shared" si="326"/>
        <v>00</v>
      </c>
      <c r="CH121" t="str">
        <f t="shared" si="326"/>
        <v>00</v>
      </c>
      <c r="CI121" t="str">
        <f t="shared" si="303"/>
        <v>01</v>
      </c>
      <c r="CJ121" t="str">
        <f t="shared" si="304"/>
        <v>07</v>
      </c>
      <c r="CK121" t="str">
        <f t="shared" si="305"/>
        <v>02</v>
      </c>
      <c r="CL121" t="str">
        <f t="shared" si="306"/>
        <v>00</v>
      </c>
      <c r="CM121" t="str">
        <f t="shared" si="307"/>
        <v>00</v>
      </c>
      <c r="CN121" t="str">
        <f t="shared" si="308"/>
        <v>00</v>
      </c>
      <c r="CO121" t="str">
        <f t="shared" si="309"/>
        <v>00</v>
      </c>
      <c r="CP121" t="str">
        <f t="shared" si="310"/>
        <v>00</v>
      </c>
      <c r="CQ121" t="str">
        <f t="shared" si="311"/>
        <v>00</v>
      </c>
      <c r="CR121" t="str">
        <f t="shared" si="312"/>
        <v>00</v>
      </c>
      <c r="CS121" t="str">
        <f t="shared" si="313"/>
        <v>00</v>
      </c>
      <c r="CT121" t="str">
        <f t="shared" si="314"/>
        <v>00</v>
      </c>
      <c r="CU121" t="str">
        <f t="shared" si="315"/>
        <v>00</v>
      </c>
      <c r="CV121" t="str">
        <f t="shared" si="316"/>
        <v>00</v>
      </c>
      <c r="CW121" t="str">
        <f t="shared" si="317"/>
        <v>00</v>
      </c>
      <c r="CX121" t="str">
        <f t="shared" si="318"/>
        <v>00</v>
      </c>
      <c r="CY121" t="str">
        <f t="shared" si="319"/>
        <v>00</v>
      </c>
      <c r="CZ121" t="str">
        <f t="shared" si="320"/>
        <v>00</v>
      </c>
      <c r="DA121" t="str">
        <f t="shared" si="321"/>
        <v>00</v>
      </c>
      <c r="DB121" t="str">
        <f t="shared" si="322"/>
        <v>03</v>
      </c>
      <c r="DC121" t="str">
        <f t="shared" si="323"/>
        <v>0107020000000000000000000000000000000003</v>
      </c>
      <c r="DD121" t="str">
        <f t="shared" si="324"/>
        <v>Account &amp; Security</v>
      </c>
      <c r="DE121" t="s">
        <v>243</v>
      </c>
      <c r="DF121" t="s">
        <v>223</v>
      </c>
      <c r="DG121" t="s">
        <v>224</v>
      </c>
      <c r="DH121" t="s">
        <v>225</v>
      </c>
      <c r="DI121" t="s">
        <v>226</v>
      </c>
      <c r="DJ121" t="s">
        <v>227</v>
      </c>
      <c r="DK121" t="s">
        <v>228</v>
      </c>
      <c r="DL121" t="str">
        <f t="shared" si="325"/>
        <v>109,00,00,00,01,07,02,00,00,00,00,00,00,00,00,00,00,00,00,00,00,00,00,03,0107020000000000000000000000000000000003,Account &amp; Security,file109,Blk1,Blk2,Blk3,Blk4,Blk5,Blk6</v>
      </c>
    </row>
    <row r="122" spans="2:116" x14ac:dyDescent="0.25">
      <c r="B122">
        <f t="shared" si="205"/>
        <v>110</v>
      </c>
      <c r="F122" t="s">
        <v>238</v>
      </c>
      <c r="W122">
        <f t="shared" si="244"/>
        <v>0</v>
      </c>
      <c r="X122">
        <f t="shared" si="245"/>
        <v>0</v>
      </c>
      <c r="Y122">
        <f t="shared" si="246"/>
        <v>0</v>
      </c>
      <c r="Z122">
        <f t="shared" si="247"/>
        <v>1</v>
      </c>
      <c r="AA122">
        <f t="shared" si="248"/>
        <v>0</v>
      </c>
      <c r="AB122">
        <f t="shared" si="249"/>
        <v>0</v>
      </c>
      <c r="AC122">
        <f t="shared" si="250"/>
        <v>0</v>
      </c>
      <c r="AD122">
        <f t="shared" si="251"/>
        <v>0</v>
      </c>
      <c r="AE122">
        <f t="shared" si="252"/>
        <v>0</v>
      </c>
      <c r="AF122">
        <f t="shared" si="253"/>
        <v>0</v>
      </c>
      <c r="AG122">
        <f t="shared" si="254"/>
        <v>0</v>
      </c>
      <c r="AH122">
        <f t="shared" si="255"/>
        <v>0</v>
      </c>
      <c r="AI122">
        <f t="shared" si="256"/>
        <v>0</v>
      </c>
      <c r="AJ122">
        <f t="shared" si="257"/>
        <v>0</v>
      </c>
      <c r="AK122">
        <f t="shared" si="258"/>
        <v>0</v>
      </c>
      <c r="AL122">
        <f t="shared" si="259"/>
        <v>0</v>
      </c>
      <c r="AM122">
        <f t="shared" si="260"/>
        <v>0</v>
      </c>
      <c r="AN122">
        <f t="shared" si="261"/>
        <v>0</v>
      </c>
      <c r="AO122">
        <f t="shared" si="262"/>
        <v>0</v>
      </c>
      <c r="AP122" s="2" t="str">
        <f t="shared" si="263"/>
        <v/>
      </c>
      <c r="AQ122" t="str">
        <f t="shared" si="264"/>
        <v>S</v>
      </c>
      <c r="AR122" t="str">
        <f t="shared" si="265"/>
        <v>S</v>
      </c>
      <c r="AS122" t="str">
        <f t="shared" si="266"/>
        <v>S</v>
      </c>
      <c r="AT122">
        <f t="shared" si="267"/>
        <v>1</v>
      </c>
      <c r="AU122" t="str">
        <f t="shared" si="268"/>
        <v/>
      </c>
      <c r="AV122" t="str">
        <f t="shared" si="269"/>
        <v/>
      </c>
      <c r="AW122" t="str">
        <f t="shared" si="270"/>
        <v/>
      </c>
      <c r="AX122" t="str">
        <f t="shared" si="271"/>
        <v/>
      </c>
      <c r="AY122" t="str">
        <f t="shared" si="272"/>
        <v/>
      </c>
      <c r="AZ122" t="str">
        <f t="shared" si="273"/>
        <v/>
      </c>
      <c r="BA122" t="str">
        <f t="shared" si="274"/>
        <v/>
      </c>
      <c r="BB122" t="str">
        <f t="shared" si="275"/>
        <v/>
      </c>
      <c r="BC122" t="str">
        <f t="shared" si="276"/>
        <v/>
      </c>
      <c r="BD122" t="str">
        <f t="shared" si="277"/>
        <v/>
      </c>
      <c r="BE122" t="str">
        <f t="shared" si="278"/>
        <v/>
      </c>
      <c r="BF122" t="str">
        <f t="shared" si="279"/>
        <v/>
      </c>
      <c r="BG122" t="str">
        <f t="shared" si="280"/>
        <v/>
      </c>
      <c r="BH122" t="str">
        <f t="shared" si="281"/>
        <v/>
      </c>
      <c r="BI122" t="str">
        <f t="shared" si="282"/>
        <v/>
      </c>
      <c r="BK122">
        <f t="shared" si="283"/>
        <v>1</v>
      </c>
      <c r="BL122">
        <f t="shared" si="284"/>
        <v>7</v>
      </c>
      <c r="BM122">
        <f t="shared" si="285"/>
        <v>2</v>
      </c>
      <c r="BN122">
        <f t="shared" si="286"/>
        <v>1</v>
      </c>
      <c r="BO122">
        <f t="shared" si="287"/>
        <v>0</v>
      </c>
      <c r="BP122">
        <f t="shared" si="288"/>
        <v>0</v>
      </c>
      <c r="BQ122">
        <f t="shared" si="289"/>
        <v>0</v>
      </c>
      <c r="BR122">
        <f t="shared" si="290"/>
        <v>0</v>
      </c>
      <c r="BS122">
        <f t="shared" si="291"/>
        <v>0</v>
      </c>
      <c r="BT122">
        <f t="shared" si="292"/>
        <v>0</v>
      </c>
      <c r="BU122">
        <f t="shared" si="293"/>
        <v>0</v>
      </c>
      <c r="BV122">
        <f t="shared" si="294"/>
        <v>0</v>
      </c>
      <c r="BW122">
        <f t="shared" si="295"/>
        <v>0</v>
      </c>
      <c r="BX122">
        <f t="shared" si="296"/>
        <v>0</v>
      </c>
      <c r="BY122">
        <f t="shared" si="297"/>
        <v>0</v>
      </c>
      <c r="BZ122">
        <f t="shared" si="298"/>
        <v>0</v>
      </c>
      <c r="CA122">
        <f t="shared" si="299"/>
        <v>0</v>
      </c>
      <c r="CB122">
        <f t="shared" si="300"/>
        <v>0</v>
      </c>
      <c r="CC122">
        <f t="shared" si="301"/>
        <v>0</v>
      </c>
      <c r="CE122" t="str">
        <f t="shared" si="302"/>
        <v>110</v>
      </c>
      <c r="CF122" t="str">
        <f t="shared" si="326"/>
        <v>00</v>
      </c>
      <c r="CG122" t="str">
        <f t="shared" si="326"/>
        <v>00</v>
      </c>
      <c r="CH122" t="str">
        <f t="shared" si="326"/>
        <v>00</v>
      </c>
      <c r="CI122" t="str">
        <f t="shared" si="303"/>
        <v>01</v>
      </c>
      <c r="CJ122" t="str">
        <f t="shared" si="304"/>
        <v>07</v>
      </c>
      <c r="CK122" t="str">
        <f t="shared" si="305"/>
        <v>02</v>
      </c>
      <c r="CL122" t="str">
        <f t="shared" si="306"/>
        <v>01</v>
      </c>
      <c r="CM122" t="str">
        <f t="shared" si="307"/>
        <v>00</v>
      </c>
      <c r="CN122" t="str">
        <f t="shared" si="308"/>
        <v>00</v>
      </c>
      <c r="CO122" t="str">
        <f t="shared" si="309"/>
        <v>00</v>
      </c>
      <c r="CP122" t="str">
        <f t="shared" si="310"/>
        <v>00</v>
      </c>
      <c r="CQ122" t="str">
        <f t="shared" si="311"/>
        <v>00</v>
      </c>
      <c r="CR122" t="str">
        <f t="shared" si="312"/>
        <v>00</v>
      </c>
      <c r="CS122" t="str">
        <f t="shared" si="313"/>
        <v>00</v>
      </c>
      <c r="CT122" t="str">
        <f t="shared" si="314"/>
        <v>00</v>
      </c>
      <c r="CU122" t="str">
        <f t="shared" si="315"/>
        <v>00</v>
      </c>
      <c r="CV122" t="str">
        <f t="shared" si="316"/>
        <v>00</v>
      </c>
      <c r="CW122" t="str">
        <f t="shared" si="317"/>
        <v>00</v>
      </c>
      <c r="CX122" t="str">
        <f t="shared" si="318"/>
        <v>00</v>
      </c>
      <c r="CY122" t="str">
        <f t="shared" si="319"/>
        <v>00</v>
      </c>
      <c r="CZ122" t="str">
        <f t="shared" si="320"/>
        <v>00</v>
      </c>
      <c r="DA122" t="str">
        <f t="shared" si="321"/>
        <v>00</v>
      </c>
      <c r="DB122" t="str">
        <f t="shared" si="322"/>
        <v>04</v>
      </c>
      <c r="DC122" t="str">
        <f t="shared" si="323"/>
        <v>0107020100000000000000000000000000000004</v>
      </c>
      <c r="DD122" t="str">
        <f t="shared" si="324"/>
        <v>Password</v>
      </c>
      <c r="DE122" t="s">
        <v>244</v>
      </c>
      <c r="DF122" t="s">
        <v>223</v>
      </c>
      <c r="DG122" t="s">
        <v>224</v>
      </c>
      <c r="DH122" t="s">
        <v>225</v>
      </c>
      <c r="DI122" t="s">
        <v>226</v>
      </c>
      <c r="DJ122" t="s">
        <v>227</v>
      </c>
      <c r="DK122" t="s">
        <v>228</v>
      </c>
      <c r="DL122" t="str">
        <f t="shared" si="325"/>
        <v>110,00,00,00,01,07,02,01,00,00,00,00,00,00,00,00,00,00,00,00,00,00,00,04,0107020100000000000000000000000000000004,Password,file110,Blk1,Blk2,Blk3,Blk4,Blk5,Blk6</v>
      </c>
    </row>
    <row r="123" spans="2:116" x14ac:dyDescent="0.25">
      <c r="B123">
        <f t="shared" si="205"/>
        <v>111</v>
      </c>
      <c r="F123" t="s">
        <v>239</v>
      </c>
      <c r="W123">
        <f t="shared" si="244"/>
        <v>0</v>
      </c>
      <c r="X123">
        <f t="shared" si="245"/>
        <v>0</v>
      </c>
      <c r="Y123">
        <f t="shared" si="246"/>
        <v>0</v>
      </c>
      <c r="Z123">
        <f t="shared" si="247"/>
        <v>1</v>
      </c>
      <c r="AA123">
        <f t="shared" si="248"/>
        <v>0</v>
      </c>
      <c r="AB123">
        <f t="shared" si="249"/>
        <v>0</v>
      </c>
      <c r="AC123">
        <f t="shared" si="250"/>
        <v>0</v>
      </c>
      <c r="AD123">
        <f t="shared" si="251"/>
        <v>0</v>
      </c>
      <c r="AE123">
        <f t="shared" si="252"/>
        <v>0</v>
      </c>
      <c r="AF123">
        <f t="shared" si="253"/>
        <v>0</v>
      </c>
      <c r="AG123">
        <f t="shared" si="254"/>
        <v>0</v>
      </c>
      <c r="AH123">
        <f t="shared" si="255"/>
        <v>0</v>
      </c>
      <c r="AI123">
        <f t="shared" si="256"/>
        <v>0</v>
      </c>
      <c r="AJ123">
        <f t="shared" si="257"/>
        <v>0</v>
      </c>
      <c r="AK123">
        <f t="shared" si="258"/>
        <v>0</v>
      </c>
      <c r="AL123">
        <f t="shared" si="259"/>
        <v>0</v>
      </c>
      <c r="AM123">
        <f t="shared" si="260"/>
        <v>0</v>
      </c>
      <c r="AN123">
        <f t="shared" si="261"/>
        <v>0</v>
      </c>
      <c r="AO123">
        <f t="shared" si="262"/>
        <v>0</v>
      </c>
      <c r="AP123" s="2" t="str">
        <f t="shared" si="263"/>
        <v/>
      </c>
      <c r="AQ123" t="str">
        <f t="shared" si="264"/>
        <v>S</v>
      </c>
      <c r="AR123" t="str">
        <f t="shared" si="265"/>
        <v>S</v>
      </c>
      <c r="AS123" t="str">
        <f t="shared" si="266"/>
        <v>S</v>
      </c>
      <c r="AT123" t="str">
        <f t="shared" si="267"/>
        <v>+</v>
      </c>
      <c r="AU123" t="str">
        <f t="shared" si="268"/>
        <v/>
      </c>
      <c r="AV123" t="str">
        <f t="shared" si="269"/>
        <v/>
      </c>
      <c r="AW123" t="str">
        <f t="shared" si="270"/>
        <v/>
      </c>
      <c r="AX123" t="str">
        <f t="shared" si="271"/>
        <v/>
      </c>
      <c r="AY123" t="str">
        <f t="shared" si="272"/>
        <v/>
      </c>
      <c r="AZ123" t="str">
        <f t="shared" si="273"/>
        <v/>
      </c>
      <c r="BA123" t="str">
        <f t="shared" si="274"/>
        <v/>
      </c>
      <c r="BB123" t="str">
        <f t="shared" si="275"/>
        <v/>
      </c>
      <c r="BC123" t="str">
        <f t="shared" si="276"/>
        <v/>
      </c>
      <c r="BD123" t="str">
        <f t="shared" si="277"/>
        <v/>
      </c>
      <c r="BE123" t="str">
        <f t="shared" si="278"/>
        <v/>
      </c>
      <c r="BF123" t="str">
        <f t="shared" si="279"/>
        <v/>
      </c>
      <c r="BG123" t="str">
        <f t="shared" si="280"/>
        <v/>
      </c>
      <c r="BH123" t="str">
        <f t="shared" si="281"/>
        <v/>
      </c>
      <c r="BI123" t="str">
        <f t="shared" si="282"/>
        <v/>
      </c>
      <c r="BK123">
        <f t="shared" si="283"/>
        <v>1</v>
      </c>
      <c r="BL123">
        <f t="shared" si="284"/>
        <v>7</v>
      </c>
      <c r="BM123">
        <f t="shared" si="285"/>
        <v>2</v>
      </c>
      <c r="BN123">
        <f t="shared" si="286"/>
        <v>2</v>
      </c>
      <c r="BO123">
        <f t="shared" si="287"/>
        <v>0</v>
      </c>
      <c r="BP123">
        <f t="shared" si="288"/>
        <v>0</v>
      </c>
      <c r="BQ123">
        <f t="shared" si="289"/>
        <v>0</v>
      </c>
      <c r="BR123">
        <f t="shared" si="290"/>
        <v>0</v>
      </c>
      <c r="BS123">
        <f t="shared" si="291"/>
        <v>0</v>
      </c>
      <c r="BT123">
        <f t="shared" si="292"/>
        <v>0</v>
      </c>
      <c r="BU123">
        <f t="shared" si="293"/>
        <v>0</v>
      </c>
      <c r="BV123">
        <f t="shared" si="294"/>
        <v>0</v>
      </c>
      <c r="BW123">
        <f t="shared" si="295"/>
        <v>0</v>
      </c>
      <c r="BX123">
        <f t="shared" si="296"/>
        <v>0</v>
      </c>
      <c r="BY123">
        <f t="shared" si="297"/>
        <v>0</v>
      </c>
      <c r="BZ123">
        <f t="shared" si="298"/>
        <v>0</v>
      </c>
      <c r="CA123">
        <f t="shared" si="299"/>
        <v>0</v>
      </c>
      <c r="CB123">
        <f t="shared" si="300"/>
        <v>0</v>
      </c>
      <c r="CC123">
        <f t="shared" si="301"/>
        <v>0</v>
      </c>
      <c r="CE123" t="str">
        <f t="shared" si="302"/>
        <v>111</v>
      </c>
      <c r="CF123" t="str">
        <f t="shared" si="326"/>
        <v>00</v>
      </c>
      <c r="CG123" t="str">
        <f t="shared" si="326"/>
        <v>00</v>
      </c>
      <c r="CH123" t="str">
        <f t="shared" si="326"/>
        <v>00</v>
      </c>
      <c r="CI123" t="str">
        <f t="shared" si="303"/>
        <v>01</v>
      </c>
      <c r="CJ123" t="str">
        <f t="shared" si="304"/>
        <v>07</v>
      </c>
      <c r="CK123" t="str">
        <f t="shared" si="305"/>
        <v>02</v>
      </c>
      <c r="CL123" t="str">
        <f t="shared" si="306"/>
        <v>02</v>
      </c>
      <c r="CM123" t="str">
        <f t="shared" si="307"/>
        <v>00</v>
      </c>
      <c r="CN123" t="str">
        <f t="shared" si="308"/>
        <v>00</v>
      </c>
      <c r="CO123" t="str">
        <f t="shared" si="309"/>
        <v>00</v>
      </c>
      <c r="CP123" t="str">
        <f t="shared" si="310"/>
        <v>00</v>
      </c>
      <c r="CQ123" t="str">
        <f t="shared" si="311"/>
        <v>00</v>
      </c>
      <c r="CR123" t="str">
        <f t="shared" si="312"/>
        <v>00</v>
      </c>
      <c r="CS123" t="str">
        <f t="shared" si="313"/>
        <v>00</v>
      </c>
      <c r="CT123" t="str">
        <f t="shared" si="314"/>
        <v>00</v>
      </c>
      <c r="CU123" t="str">
        <f t="shared" si="315"/>
        <v>00</v>
      </c>
      <c r="CV123" t="str">
        <f t="shared" si="316"/>
        <v>00</v>
      </c>
      <c r="CW123" t="str">
        <f t="shared" si="317"/>
        <v>00</v>
      </c>
      <c r="CX123" t="str">
        <f t="shared" si="318"/>
        <v>00</v>
      </c>
      <c r="CY123" t="str">
        <f t="shared" si="319"/>
        <v>00</v>
      </c>
      <c r="CZ123" t="str">
        <f t="shared" si="320"/>
        <v>00</v>
      </c>
      <c r="DA123" t="str">
        <f t="shared" si="321"/>
        <v>00</v>
      </c>
      <c r="DB123" t="str">
        <f t="shared" si="322"/>
        <v>04</v>
      </c>
      <c r="DC123" t="str">
        <f t="shared" si="323"/>
        <v>0107020200000000000000000000000000000004</v>
      </c>
      <c r="DD123" t="str">
        <f t="shared" si="324"/>
        <v>Two-Factor Authentication</v>
      </c>
      <c r="DE123" t="s">
        <v>245</v>
      </c>
      <c r="DF123" t="s">
        <v>223</v>
      </c>
      <c r="DG123" t="s">
        <v>224</v>
      </c>
      <c r="DH123" t="s">
        <v>225</v>
      </c>
      <c r="DI123" t="s">
        <v>226</v>
      </c>
      <c r="DJ123" t="s">
        <v>227</v>
      </c>
      <c r="DK123" t="s">
        <v>228</v>
      </c>
      <c r="DL123" t="str">
        <f t="shared" si="325"/>
        <v>111,00,00,00,01,07,02,02,00,00,00,00,00,00,00,00,00,00,00,00,00,00,00,04,0107020200000000000000000000000000000004,Two-Factor Authentication,file111,Blk1,Blk2,Blk3,Blk4,Blk5,Blk6</v>
      </c>
    </row>
    <row r="124" spans="2:116" x14ac:dyDescent="0.25">
      <c r="B124">
        <f t="shared" si="205"/>
        <v>112</v>
      </c>
      <c r="F124" t="s">
        <v>240</v>
      </c>
      <c r="W124">
        <f t="shared" si="244"/>
        <v>0</v>
      </c>
      <c r="X124">
        <f t="shared" si="245"/>
        <v>0</v>
      </c>
      <c r="Y124">
        <f t="shared" si="246"/>
        <v>0</v>
      </c>
      <c r="Z124">
        <f t="shared" si="247"/>
        <v>1</v>
      </c>
      <c r="AA124">
        <f t="shared" si="248"/>
        <v>0</v>
      </c>
      <c r="AB124">
        <f t="shared" si="249"/>
        <v>0</v>
      </c>
      <c r="AC124">
        <f t="shared" si="250"/>
        <v>0</v>
      </c>
      <c r="AD124">
        <f t="shared" si="251"/>
        <v>0</v>
      </c>
      <c r="AE124">
        <f t="shared" si="252"/>
        <v>0</v>
      </c>
      <c r="AF124">
        <f t="shared" si="253"/>
        <v>0</v>
      </c>
      <c r="AG124">
        <f t="shared" si="254"/>
        <v>0</v>
      </c>
      <c r="AH124">
        <f t="shared" si="255"/>
        <v>0</v>
      </c>
      <c r="AI124">
        <f t="shared" si="256"/>
        <v>0</v>
      </c>
      <c r="AJ124">
        <f t="shared" si="257"/>
        <v>0</v>
      </c>
      <c r="AK124">
        <f t="shared" si="258"/>
        <v>0</v>
      </c>
      <c r="AL124">
        <f t="shared" si="259"/>
        <v>0</v>
      </c>
      <c r="AM124">
        <f t="shared" si="260"/>
        <v>0</v>
      </c>
      <c r="AN124">
        <f t="shared" si="261"/>
        <v>0</v>
      </c>
      <c r="AO124">
        <f t="shared" si="262"/>
        <v>0</v>
      </c>
      <c r="AP124" s="2" t="str">
        <f t="shared" si="263"/>
        <v/>
      </c>
      <c r="AQ124" t="str">
        <f t="shared" si="264"/>
        <v>S</v>
      </c>
      <c r="AR124" t="str">
        <f t="shared" si="265"/>
        <v>S</v>
      </c>
      <c r="AS124" t="str">
        <f t="shared" si="266"/>
        <v>S</v>
      </c>
      <c r="AT124" t="str">
        <f t="shared" si="267"/>
        <v>+</v>
      </c>
      <c r="AU124" t="str">
        <f t="shared" si="268"/>
        <v/>
      </c>
      <c r="AV124" t="str">
        <f t="shared" si="269"/>
        <v/>
      </c>
      <c r="AW124" t="str">
        <f t="shared" si="270"/>
        <v/>
      </c>
      <c r="AX124" t="str">
        <f t="shared" si="271"/>
        <v/>
      </c>
      <c r="AY124" t="str">
        <f t="shared" si="272"/>
        <v/>
      </c>
      <c r="AZ124" t="str">
        <f t="shared" si="273"/>
        <v/>
      </c>
      <c r="BA124" t="str">
        <f t="shared" si="274"/>
        <v/>
      </c>
      <c r="BB124" t="str">
        <f t="shared" si="275"/>
        <v/>
      </c>
      <c r="BC124" t="str">
        <f t="shared" si="276"/>
        <v/>
      </c>
      <c r="BD124" t="str">
        <f t="shared" si="277"/>
        <v/>
      </c>
      <c r="BE124" t="str">
        <f t="shared" si="278"/>
        <v/>
      </c>
      <c r="BF124" t="str">
        <f t="shared" si="279"/>
        <v/>
      </c>
      <c r="BG124" t="str">
        <f t="shared" si="280"/>
        <v/>
      </c>
      <c r="BH124" t="str">
        <f t="shared" si="281"/>
        <v/>
      </c>
      <c r="BI124" t="str">
        <f t="shared" si="282"/>
        <v/>
      </c>
      <c r="BK124">
        <f t="shared" si="283"/>
        <v>1</v>
      </c>
      <c r="BL124">
        <f t="shared" si="284"/>
        <v>7</v>
      </c>
      <c r="BM124">
        <f t="shared" si="285"/>
        <v>2</v>
      </c>
      <c r="BN124">
        <f t="shared" si="286"/>
        <v>3</v>
      </c>
      <c r="BO124">
        <f t="shared" si="287"/>
        <v>0</v>
      </c>
      <c r="BP124">
        <f t="shared" si="288"/>
        <v>0</v>
      </c>
      <c r="BQ124">
        <f t="shared" si="289"/>
        <v>0</v>
      </c>
      <c r="BR124">
        <f t="shared" si="290"/>
        <v>0</v>
      </c>
      <c r="BS124">
        <f t="shared" si="291"/>
        <v>0</v>
      </c>
      <c r="BT124">
        <f t="shared" si="292"/>
        <v>0</v>
      </c>
      <c r="BU124">
        <f t="shared" si="293"/>
        <v>0</v>
      </c>
      <c r="BV124">
        <f t="shared" si="294"/>
        <v>0</v>
      </c>
      <c r="BW124">
        <f t="shared" si="295"/>
        <v>0</v>
      </c>
      <c r="BX124">
        <f t="shared" si="296"/>
        <v>0</v>
      </c>
      <c r="BY124">
        <f t="shared" si="297"/>
        <v>0</v>
      </c>
      <c r="BZ124">
        <f t="shared" si="298"/>
        <v>0</v>
      </c>
      <c r="CA124">
        <f t="shared" si="299"/>
        <v>0</v>
      </c>
      <c r="CB124">
        <f t="shared" si="300"/>
        <v>0</v>
      </c>
      <c r="CC124">
        <f t="shared" si="301"/>
        <v>0</v>
      </c>
      <c r="CE124" t="str">
        <f t="shared" si="302"/>
        <v>112</v>
      </c>
      <c r="CF124" t="str">
        <f t="shared" si="326"/>
        <v>00</v>
      </c>
      <c r="CG124" t="str">
        <f t="shared" si="326"/>
        <v>00</v>
      </c>
      <c r="CH124" t="str">
        <f t="shared" si="326"/>
        <v>00</v>
      </c>
      <c r="CI124" t="str">
        <f t="shared" si="303"/>
        <v>01</v>
      </c>
      <c r="CJ124" t="str">
        <f t="shared" si="304"/>
        <v>07</v>
      </c>
      <c r="CK124" t="str">
        <f t="shared" si="305"/>
        <v>02</v>
      </c>
      <c r="CL124" t="str">
        <f t="shared" si="306"/>
        <v>03</v>
      </c>
      <c r="CM124" t="str">
        <f t="shared" si="307"/>
        <v>00</v>
      </c>
      <c r="CN124" t="str">
        <f t="shared" si="308"/>
        <v>00</v>
      </c>
      <c r="CO124" t="str">
        <f t="shared" si="309"/>
        <v>00</v>
      </c>
      <c r="CP124" t="str">
        <f t="shared" si="310"/>
        <v>00</v>
      </c>
      <c r="CQ124" t="str">
        <f t="shared" si="311"/>
        <v>00</v>
      </c>
      <c r="CR124" t="str">
        <f t="shared" si="312"/>
        <v>00</v>
      </c>
      <c r="CS124" t="str">
        <f t="shared" si="313"/>
        <v>00</v>
      </c>
      <c r="CT124" t="str">
        <f t="shared" si="314"/>
        <v>00</v>
      </c>
      <c r="CU124" t="str">
        <f t="shared" si="315"/>
        <v>00</v>
      </c>
      <c r="CV124" t="str">
        <f t="shared" si="316"/>
        <v>00</v>
      </c>
      <c r="CW124" t="str">
        <f t="shared" si="317"/>
        <v>00</v>
      </c>
      <c r="CX124" t="str">
        <f t="shared" si="318"/>
        <v>00</v>
      </c>
      <c r="CY124" t="str">
        <f t="shared" si="319"/>
        <v>00</v>
      </c>
      <c r="CZ124" t="str">
        <f t="shared" si="320"/>
        <v>00</v>
      </c>
      <c r="DA124" t="str">
        <f t="shared" si="321"/>
        <v>00</v>
      </c>
      <c r="DB124" t="str">
        <f t="shared" si="322"/>
        <v>04</v>
      </c>
      <c r="DC124" t="str">
        <f t="shared" si="323"/>
        <v>0107020300000000000000000000000000000004</v>
      </c>
      <c r="DD124" t="str">
        <f t="shared" si="324"/>
        <v>Active Sessions</v>
      </c>
      <c r="DE124" t="s">
        <v>246</v>
      </c>
      <c r="DF124" t="s">
        <v>223</v>
      </c>
      <c r="DG124" t="s">
        <v>224</v>
      </c>
      <c r="DH124" t="s">
        <v>225</v>
      </c>
      <c r="DI124" t="s">
        <v>226</v>
      </c>
      <c r="DJ124" t="s">
        <v>227</v>
      </c>
      <c r="DK124" t="s">
        <v>228</v>
      </c>
      <c r="DL124" t="str">
        <f t="shared" si="325"/>
        <v>112,00,00,00,01,07,02,03,00,00,00,00,00,00,00,00,00,00,00,00,00,00,00,04,0107020300000000000000000000000000000004,Active Sessions,file112,Blk1,Blk2,Blk3,Blk4,Blk5,Blk6</v>
      </c>
    </row>
    <row r="125" spans="2:116" x14ac:dyDescent="0.25">
      <c r="B125">
        <f t="shared" si="205"/>
        <v>113</v>
      </c>
      <c r="F125" t="s">
        <v>241</v>
      </c>
      <c r="W125">
        <f t="shared" si="244"/>
        <v>0</v>
      </c>
      <c r="X125">
        <f t="shared" si="245"/>
        <v>0</v>
      </c>
      <c r="Y125">
        <f t="shared" si="246"/>
        <v>0</v>
      </c>
      <c r="Z125">
        <f t="shared" si="247"/>
        <v>1</v>
      </c>
      <c r="AA125">
        <f t="shared" si="248"/>
        <v>0</v>
      </c>
      <c r="AB125">
        <f t="shared" si="249"/>
        <v>0</v>
      </c>
      <c r="AC125">
        <f t="shared" si="250"/>
        <v>0</v>
      </c>
      <c r="AD125">
        <f t="shared" si="251"/>
        <v>0</v>
      </c>
      <c r="AE125">
        <f t="shared" si="252"/>
        <v>0</v>
      </c>
      <c r="AF125">
        <f t="shared" si="253"/>
        <v>0</v>
      </c>
      <c r="AG125">
        <f t="shared" si="254"/>
        <v>0</v>
      </c>
      <c r="AH125">
        <f t="shared" si="255"/>
        <v>0</v>
      </c>
      <c r="AI125">
        <f t="shared" si="256"/>
        <v>0</v>
      </c>
      <c r="AJ125">
        <f t="shared" si="257"/>
        <v>0</v>
      </c>
      <c r="AK125">
        <f t="shared" si="258"/>
        <v>0</v>
      </c>
      <c r="AL125">
        <f t="shared" si="259"/>
        <v>0</v>
      </c>
      <c r="AM125">
        <f t="shared" si="260"/>
        <v>0</v>
      </c>
      <c r="AN125">
        <f t="shared" si="261"/>
        <v>0</v>
      </c>
      <c r="AO125">
        <f t="shared" si="262"/>
        <v>0</v>
      </c>
      <c r="AP125" s="2" t="str">
        <f t="shared" si="263"/>
        <v/>
      </c>
      <c r="AQ125" t="str">
        <f t="shared" si="264"/>
        <v>S</v>
      </c>
      <c r="AR125" t="str">
        <f t="shared" si="265"/>
        <v>S</v>
      </c>
      <c r="AS125" t="str">
        <f t="shared" si="266"/>
        <v>S</v>
      </c>
      <c r="AT125" t="str">
        <f t="shared" si="267"/>
        <v>+</v>
      </c>
      <c r="AU125" t="str">
        <f t="shared" si="268"/>
        <v/>
      </c>
      <c r="AV125" t="str">
        <f t="shared" si="269"/>
        <v/>
      </c>
      <c r="AW125" t="str">
        <f t="shared" si="270"/>
        <v/>
      </c>
      <c r="AX125" t="str">
        <f t="shared" si="271"/>
        <v/>
      </c>
      <c r="AY125" t="str">
        <f t="shared" si="272"/>
        <v/>
      </c>
      <c r="AZ125" t="str">
        <f t="shared" si="273"/>
        <v/>
      </c>
      <c r="BA125" t="str">
        <f t="shared" si="274"/>
        <v/>
      </c>
      <c r="BB125" t="str">
        <f t="shared" si="275"/>
        <v/>
      </c>
      <c r="BC125" t="str">
        <f t="shared" si="276"/>
        <v/>
      </c>
      <c r="BD125" t="str">
        <f t="shared" si="277"/>
        <v/>
      </c>
      <c r="BE125" t="str">
        <f t="shared" si="278"/>
        <v/>
      </c>
      <c r="BF125" t="str">
        <f t="shared" si="279"/>
        <v/>
      </c>
      <c r="BG125" t="str">
        <f t="shared" si="280"/>
        <v/>
      </c>
      <c r="BH125" t="str">
        <f t="shared" si="281"/>
        <v/>
      </c>
      <c r="BI125" t="str">
        <f t="shared" si="282"/>
        <v/>
      </c>
      <c r="BK125">
        <f t="shared" si="283"/>
        <v>1</v>
      </c>
      <c r="BL125">
        <f t="shared" si="284"/>
        <v>7</v>
      </c>
      <c r="BM125">
        <f t="shared" si="285"/>
        <v>2</v>
      </c>
      <c r="BN125">
        <f t="shared" si="286"/>
        <v>4</v>
      </c>
      <c r="BO125">
        <f t="shared" si="287"/>
        <v>0</v>
      </c>
      <c r="BP125">
        <f t="shared" si="288"/>
        <v>0</v>
      </c>
      <c r="BQ125">
        <f t="shared" si="289"/>
        <v>0</v>
      </c>
      <c r="BR125">
        <f t="shared" si="290"/>
        <v>0</v>
      </c>
      <c r="BS125">
        <f t="shared" si="291"/>
        <v>0</v>
      </c>
      <c r="BT125">
        <f t="shared" si="292"/>
        <v>0</v>
      </c>
      <c r="BU125">
        <f t="shared" si="293"/>
        <v>0</v>
      </c>
      <c r="BV125">
        <f t="shared" si="294"/>
        <v>0</v>
      </c>
      <c r="BW125">
        <f t="shared" si="295"/>
        <v>0</v>
      </c>
      <c r="BX125">
        <f t="shared" si="296"/>
        <v>0</v>
      </c>
      <c r="BY125">
        <f t="shared" si="297"/>
        <v>0</v>
      </c>
      <c r="BZ125">
        <f t="shared" si="298"/>
        <v>0</v>
      </c>
      <c r="CA125">
        <f t="shared" si="299"/>
        <v>0</v>
      </c>
      <c r="CB125">
        <f t="shared" si="300"/>
        <v>0</v>
      </c>
      <c r="CC125">
        <f t="shared" si="301"/>
        <v>0</v>
      </c>
      <c r="CE125" t="str">
        <f t="shared" si="302"/>
        <v>113</v>
      </c>
      <c r="CF125" t="str">
        <f t="shared" si="326"/>
        <v>00</v>
      </c>
      <c r="CG125" t="str">
        <f t="shared" si="326"/>
        <v>00</v>
      </c>
      <c r="CH125" t="str">
        <f t="shared" si="326"/>
        <v>00</v>
      </c>
      <c r="CI125" t="str">
        <f t="shared" si="303"/>
        <v>01</v>
      </c>
      <c r="CJ125" t="str">
        <f t="shared" si="304"/>
        <v>07</v>
      </c>
      <c r="CK125" t="str">
        <f t="shared" si="305"/>
        <v>02</v>
      </c>
      <c r="CL125" t="str">
        <f t="shared" si="306"/>
        <v>04</v>
      </c>
      <c r="CM125" t="str">
        <f t="shared" si="307"/>
        <v>00</v>
      </c>
      <c r="CN125" t="str">
        <f t="shared" si="308"/>
        <v>00</v>
      </c>
      <c r="CO125" t="str">
        <f t="shared" si="309"/>
        <v>00</v>
      </c>
      <c r="CP125" t="str">
        <f t="shared" si="310"/>
        <v>00</v>
      </c>
      <c r="CQ125" t="str">
        <f t="shared" si="311"/>
        <v>00</v>
      </c>
      <c r="CR125" t="str">
        <f t="shared" si="312"/>
        <v>00</v>
      </c>
      <c r="CS125" t="str">
        <f t="shared" si="313"/>
        <v>00</v>
      </c>
      <c r="CT125" t="str">
        <f t="shared" si="314"/>
        <v>00</v>
      </c>
      <c r="CU125" t="str">
        <f t="shared" si="315"/>
        <v>00</v>
      </c>
      <c r="CV125" t="str">
        <f t="shared" si="316"/>
        <v>00</v>
      </c>
      <c r="CW125" t="str">
        <f t="shared" si="317"/>
        <v>00</v>
      </c>
      <c r="CX125" t="str">
        <f t="shared" si="318"/>
        <v>00</v>
      </c>
      <c r="CY125" t="str">
        <f t="shared" si="319"/>
        <v>00</v>
      </c>
      <c r="CZ125" t="str">
        <f t="shared" si="320"/>
        <v>00</v>
      </c>
      <c r="DA125" t="str">
        <f t="shared" si="321"/>
        <v>00</v>
      </c>
      <c r="DB125" t="str">
        <f t="shared" si="322"/>
        <v>04</v>
      </c>
      <c r="DC125" t="str">
        <f t="shared" si="323"/>
        <v>0107020400000000000000000000000000000004</v>
      </c>
      <c r="DD125" t="str">
        <f t="shared" si="324"/>
        <v>Login History</v>
      </c>
      <c r="DE125" t="s">
        <v>247</v>
      </c>
      <c r="DF125" t="s">
        <v>223</v>
      </c>
      <c r="DG125" t="s">
        <v>224</v>
      </c>
      <c r="DH125" t="s">
        <v>225</v>
      </c>
      <c r="DI125" t="s">
        <v>226</v>
      </c>
      <c r="DJ125" t="s">
        <v>227</v>
      </c>
      <c r="DK125" t="s">
        <v>228</v>
      </c>
      <c r="DL125" t="str">
        <f t="shared" si="325"/>
        <v>113,00,00,00,01,07,02,04,00,00,00,00,00,00,00,00,00,00,00,00,00,00,00,04,0107020400000000000000000000000000000004,Login History,file113,Blk1,Blk2,Blk3,Blk4,Blk5,Blk6</v>
      </c>
    </row>
    <row r="126" spans="2:116" x14ac:dyDescent="0.25">
      <c r="B126">
        <f t="shared" si="205"/>
        <v>114</v>
      </c>
      <c r="E126" t="s">
        <v>16</v>
      </c>
      <c r="W126">
        <f t="shared" si="244"/>
        <v>0</v>
      </c>
      <c r="X126">
        <f t="shared" si="245"/>
        <v>0</v>
      </c>
      <c r="Y126">
        <f t="shared" si="246"/>
        <v>1</v>
      </c>
      <c r="Z126">
        <f t="shared" si="247"/>
        <v>0</v>
      </c>
      <c r="AA126">
        <f t="shared" si="248"/>
        <v>0</v>
      </c>
      <c r="AB126">
        <f t="shared" si="249"/>
        <v>0</v>
      </c>
      <c r="AC126">
        <f t="shared" si="250"/>
        <v>0</v>
      </c>
      <c r="AD126">
        <f t="shared" si="251"/>
        <v>0</v>
      </c>
      <c r="AE126">
        <f t="shared" si="252"/>
        <v>0</v>
      </c>
      <c r="AF126">
        <f t="shared" si="253"/>
        <v>0</v>
      </c>
      <c r="AG126">
        <f t="shared" si="254"/>
        <v>0</v>
      </c>
      <c r="AH126">
        <f t="shared" si="255"/>
        <v>0</v>
      </c>
      <c r="AI126">
        <f t="shared" si="256"/>
        <v>0</v>
      </c>
      <c r="AJ126">
        <f t="shared" si="257"/>
        <v>0</v>
      </c>
      <c r="AK126">
        <f t="shared" si="258"/>
        <v>0</v>
      </c>
      <c r="AL126">
        <f t="shared" si="259"/>
        <v>0</v>
      </c>
      <c r="AM126">
        <f t="shared" si="260"/>
        <v>0</v>
      </c>
      <c r="AN126">
        <f t="shared" si="261"/>
        <v>0</v>
      </c>
      <c r="AO126">
        <f t="shared" si="262"/>
        <v>0</v>
      </c>
      <c r="AP126" s="2" t="str">
        <f t="shared" si="263"/>
        <v/>
      </c>
      <c r="AQ126" t="str">
        <f t="shared" si="264"/>
        <v>S</v>
      </c>
      <c r="AR126" t="str">
        <f t="shared" si="265"/>
        <v>S</v>
      </c>
      <c r="AS126" t="str">
        <f t="shared" si="266"/>
        <v>+</v>
      </c>
      <c r="AT126" t="str">
        <f t="shared" si="267"/>
        <v/>
      </c>
      <c r="AU126" t="str">
        <f t="shared" si="268"/>
        <v/>
      </c>
      <c r="AV126" t="str">
        <f t="shared" si="269"/>
        <v/>
      </c>
      <c r="AW126" t="str">
        <f t="shared" si="270"/>
        <v/>
      </c>
      <c r="AX126" t="str">
        <f t="shared" si="271"/>
        <v/>
      </c>
      <c r="AY126" t="str">
        <f t="shared" si="272"/>
        <v/>
      </c>
      <c r="AZ126" t="str">
        <f t="shared" si="273"/>
        <v/>
      </c>
      <c r="BA126" t="str">
        <f t="shared" si="274"/>
        <v/>
      </c>
      <c r="BB126" t="str">
        <f t="shared" si="275"/>
        <v/>
      </c>
      <c r="BC126" t="str">
        <f t="shared" si="276"/>
        <v/>
      </c>
      <c r="BD126" t="str">
        <f t="shared" si="277"/>
        <v/>
      </c>
      <c r="BE126" t="str">
        <f t="shared" si="278"/>
        <v/>
      </c>
      <c r="BF126" t="str">
        <f t="shared" si="279"/>
        <v/>
      </c>
      <c r="BG126" t="str">
        <f t="shared" si="280"/>
        <v/>
      </c>
      <c r="BH126" t="str">
        <f t="shared" si="281"/>
        <v/>
      </c>
      <c r="BI126" t="str">
        <f t="shared" si="282"/>
        <v/>
      </c>
      <c r="BK126">
        <f t="shared" si="283"/>
        <v>1</v>
      </c>
      <c r="BL126">
        <f t="shared" si="284"/>
        <v>7</v>
      </c>
      <c r="BM126">
        <f t="shared" si="285"/>
        <v>3</v>
      </c>
      <c r="BN126">
        <f t="shared" si="286"/>
        <v>0</v>
      </c>
      <c r="BO126">
        <f t="shared" si="287"/>
        <v>0</v>
      </c>
      <c r="BP126">
        <f t="shared" si="288"/>
        <v>0</v>
      </c>
      <c r="BQ126">
        <f t="shared" si="289"/>
        <v>0</v>
      </c>
      <c r="BR126">
        <f t="shared" si="290"/>
        <v>0</v>
      </c>
      <c r="BS126">
        <f t="shared" si="291"/>
        <v>0</v>
      </c>
      <c r="BT126">
        <f t="shared" si="292"/>
        <v>0</v>
      </c>
      <c r="BU126">
        <f t="shared" si="293"/>
        <v>0</v>
      </c>
      <c r="BV126">
        <f t="shared" si="294"/>
        <v>0</v>
      </c>
      <c r="BW126">
        <f t="shared" si="295"/>
        <v>0</v>
      </c>
      <c r="BX126">
        <f t="shared" si="296"/>
        <v>0</v>
      </c>
      <c r="BY126">
        <f t="shared" si="297"/>
        <v>0</v>
      </c>
      <c r="BZ126">
        <f t="shared" si="298"/>
        <v>0</v>
      </c>
      <c r="CA126">
        <f t="shared" si="299"/>
        <v>0</v>
      </c>
      <c r="CB126">
        <f t="shared" si="300"/>
        <v>0</v>
      </c>
      <c r="CC126">
        <f t="shared" si="301"/>
        <v>0</v>
      </c>
      <c r="CE126" t="str">
        <f t="shared" si="302"/>
        <v>114</v>
      </c>
      <c r="CF126" t="str">
        <f t="shared" si="326"/>
        <v>00</v>
      </c>
      <c r="CG126" t="str">
        <f t="shared" si="326"/>
        <v>00</v>
      </c>
      <c r="CH126" t="str">
        <f t="shared" si="326"/>
        <v>00</v>
      </c>
      <c r="CI126" t="str">
        <f t="shared" si="303"/>
        <v>01</v>
      </c>
      <c r="CJ126" t="str">
        <f t="shared" si="304"/>
        <v>07</v>
      </c>
      <c r="CK126" t="str">
        <f t="shared" si="305"/>
        <v>03</v>
      </c>
      <c r="CL126" t="str">
        <f t="shared" si="306"/>
        <v>00</v>
      </c>
      <c r="CM126" t="str">
        <f t="shared" si="307"/>
        <v>00</v>
      </c>
      <c r="CN126" t="str">
        <f t="shared" si="308"/>
        <v>00</v>
      </c>
      <c r="CO126" t="str">
        <f t="shared" si="309"/>
        <v>00</v>
      </c>
      <c r="CP126" t="str">
        <f t="shared" si="310"/>
        <v>00</v>
      </c>
      <c r="CQ126" t="str">
        <f t="shared" si="311"/>
        <v>00</v>
      </c>
      <c r="CR126" t="str">
        <f t="shared" si="312"/>
        <v>00</v>
      </c>
      <c r="CS126" t="str">
        <f t="shared" si="313"/>
        <v>00</v>
      </c>
      <c r="CT126" t="str">
        <f t="shared" si="314"/>
        <v>00</v>
      </c>
      <c r="CU126" t="str">
        <f t="shared" si="315"/>
        <v>00</v>
      </c>
      <c r="CV126" t="str">
        <f t="shared" si="316"/>
        <v>00</v>
      </c>
      <c r="CW126" t="str">
        <f t="shared" si="317"/>
        <v>00</v>
      </c>
      <c r="CX126" t="str">
        <f t="shared" si="318"/>
        <v>00</v>
      </c>
      <c r="CY126" t="str">
        <f t="shared" si="319"/>
        <v>00</v>
      </c>
      <c r="CZ126" t="str">
        <f t="shared" si="320"/>
        <v>00</v>
      </c>
      <c r="DA126" t="str">
        <f t="shared" si="321"/>
        <v>00</v>
      </c>
      <c r="DB126" t="str">
        <f t="shared" si="322"/>
        <v>03</v>
      </c>
      <c r="DC126" t="str">
        <f t="shared" si="323"/>
        <v>0107030000000000000000000000000000000003</v>
      </c>
      <c r="DD126" t="str">
        <f t="shared" si="324"/>
        <v>Notification</v>
      </c>
      <c r="DE126" t="s">
        <v>248</v>
      </c>
      <c r="DF126" t="s">
        <v>223</v>
      </c>
      <c r="DG126" t="s">
        <v>224</v>
      </c>
      <c r="DH126" t="s">
        <v>225</v>
      </c>
      <c r="DI126" t="s">
        <v>226</v>
      </c>
      <c r="DJ126" t="s">
        <v>227</v>
      </c>
      <c r="DK126" t="s">
        <v>228</v>
      </c>
      <c r="DL126" t="str">
        <f t="shared" si="325"/>
        <v>114,00,00,00,01,07,03,00,00,00,00,00,00,00,00,00,00,00,00,00,00,00,00,03,0107030000000000000000000000000000000003,Notification,file114,Blk1,Blk2,Blk3,Blk4,Blk5,Blk6</v>
      </c>
    </row>
    <row r="127" spans="2:116" x14ac:dyDescent="0.25">
      <c r="B127">
        <f t="shared" si="205"/>
        <v>115</v>
      </c>
      <c r="E127" t="s">
        <v>236</v>
      </c>
      <c r="W127">
        <f t="shared" si="244"/>
        <v>0</v>
      </c>
      <c r="X127">
        <f t="shared" si="245"/>
        <v>0</v>
      </c>
      <c r="Y127">
        <f t="shared" si="246"/>
        <v>1</v>
      </c>
      <c r="Z127">
        <f t="shared" si="247"/>
        <v>0</v>
      </c>
      <c r="AA127">
        <f t="shared" si="248"/>
        <v>0</v>
      </c>
      <c r="AB127">
        <f t="shared" si="249"/>
        <v>0</v>
      </c>
      <c r="AC127">
        <f t="shared" si="250"/>
        <v>0</v>
      </c>
      <c r="AD127">
        <f t="shared" si="251"/>
        <v>0</v>
      </c>
      <c r="AE127">
        <f t="shared" si="252"/>
        <v>0</v>
      </c>
      <c r="AF127">
        <f t="shared" si="253"/>
        <v>0</v>
      </c>
      <c r="AG127">
        <f t="shared" si="254"/>
        <v>0</v>
      </c>
      <c r="AH127">
        <f t="shared" si="255"/>
        <v>0</v>
      </c>
      <c r="AI127">
        <f t="shared" si="256"/>
        <v>0</v>
      </c>
      <c r="AJ127">
        <f t="shared" si="257"/>
        <v>0</v>
      </c>
      <c r="AK127">
        <f t="shared" si="258"/>
        <v>0</v>
      </c>
      <c r="AL127">
        <f t="shared" si="259"/>
        <v>0</v>
      </c>
      <c r="AM127">
        <f t="shared" si="260"/>
        <v>0</v>
      </c>
      <c r="AN127">
        <f t="shared" si="261"/>
        <v>0</v>
      </c>
      <c r="AO127">
        <f t="shared" si="262"/>
        <v>0</v>
      </c>
      <c r="AP127" s="2" t="str">
        <f t="shared" si="263"/>
        <v/>
      </c>
      <c r="AQ127" t="str">
        <f t="shared" si="264"/>
        <v>S</v>
      </c>
      <c r="AR127" t="str">
        <f t="shared" si="265"/>
        <v>S</v>
      </c>
      <c r="AS127" t="str">
        <f t="shared" si="266"/>
        <v>+</v>
      </c>
      <c r="AT127" t="str">
        <f t="shared" si="267"/>
        <v/>
      </c>
      <c r="AU127" t="str">
        <f t="shared" si="268"/>
        <v/>
      </c>
      <c r="AV127" t="str">
        <f t="shared" si="269"/>
        <v/>
      </c>
      <c r="AW127" t="str">
        <f t="shared" si="270"/>
        <v/>
      </c>
      <c r="AX127" t="str">
        <f t="shared" si="271"/>
        <v/>
      </c>
      <c r="AY127" t="str">
        <f t="shared" si="272"/>
        <v/>
      </c>
      <c r="AZ127" t="str">
        <f t="shared" si="273"/>
        <v/>
      </c>
      <c r="BA127" t="str">
        <f t="shared" si="274"/>
        <v/>
      </c>
      <c r="BB127" t="str">
        <f t="shared" si="275"/>
        <v/>
      </c>
      <c r="BC127" t="str">
        <f t="shared" si="276"/>
        <v/>
      </c>
      <c r="BD127" t="str">
        <f t="shared" si="277"/>
        <v/>
      </c>
      <c r="BE127" t="str">
        <f t="shared" si="278"/>
        <v/>
      </c>
      <c r="BF127" t="str">
        <f t="shared" si="279"/>
        <v/>
      </c>
      <c r="BG127" t="str">
        <f t="shared" si="280"/>
        <v/>
      </c>
      <c r="BH127" t="str">
        <f t="shared" si="281"/>
        <v/>
      </c>
      <c r="BI127" t="str">
        <f t="shared" si="282"/>
        <v/>
      </c>
      <c r="BK127">
        <f t="shared" si="283"/>
        <v>1</v>
      </c>
      <c r="BL127">
        <f t="shared" si="284"/>
        <v>7</v>
      </c>
      <c r="BM127">
        <f t="shared" si="285"/>
        <v>4</v>
      </c>
      <c r="BN127">
        <f t="shared" si="286"/>
        <v>0</v>
      </c>
      <c r="BO127">
        <f t="shared" si="287"/>
        <v>0</v>
      </c>
      <c r="BP127">
        <f t="shared" si="288"/>
        <v>0</v>
      </c>
      <c r="BQ127">
        <f t="shared" si="289"/>
        <v>0</v>
      </c>
      <c r="BR127">
        <f t="shared" si="290"/>
        <v>0</v>
      </c>
      <c r="BS127">
        <f t="shared" si="291"/>
        <v>0</v>
      </c>
      <c r="BT127">
        <f t="shared" si="292"/>
        <v>0</v>
      </c>
      <c r="BU127">
        <f t="shared" si="293"/>
        <v>0</v>
      </c>
      <c r="BV127">
        <f t="shared" si="294"/>
        <v>0</v>
      </c>
      <c r="BW127">
        <f t="shared" si="295"/>
        <v>0</v>
      </c>
      <c r="BX127">
        <f t="shared" si="296"/>
        <v>0</v>
      </c>
      <c r="BY127">
        <f t="shared" si="297"/>
        <v>0</v>
      </c>
      <c r="BZ127">
        <f t="shared" si="298"/>
        <v>0</v>
      </c>
      <c r="CA127">
        <f t="shared" si="299"/>
        <v>0</v>
      </c>
      <c r="CB127">
        <f t="shared" si="300"/>
        <v>0</v>
      </c>
      <c r="CC127">
        <f t="shared" si="301"/>
        <v>0</v>
      </c>
      <c r="CE127" t="str">
        <f t="shared" si="302"/>
        <v>115</v>
      </c>
      <c r="CF127" t="str">
        <f t="shared" si="326"/>
        <v>00</v>
      </c>
      <c r="CG127" t="str">
        <f t="shared" si="326"/>
        <v>00</v>
      </c>
      <c r="CH127" t="str">
        <f t="shared" si="326"/>
        <v>00</v>
      </c>
      <c r="CI127" t="str">
        <f t="shared" si="303"/>
        <v>01</v>
      </c>
      <c r="CJ127" t="str">
        <f t="shared" si="304"/>
        <v>07</v>
      </c>
      <c r="CK127" t="str">
        <f t="shared" si="305"/>
        <v>04</v>
      </c>
      <c r="CL127" t="str">
        <f t="shared" si="306"/>
        <v>00</v>
      </c>
      <c r="CM127" t="str">
        <f t="shared" si="307"/>
        <v>00</v>
      </c>
      <c r="CN127" t="str">
        <f t="shared" si="308"/>
        <v>00</v>
      </c>
      <c r="CO127" t="str">
        <f t="shared" si="309"/>
        <v>00</v>
      </c>
      <c r="CP127" t="str">
        <f t="shared" si="310"/>
        <v>00</v>
      </c>
      <c r="CQ127" t="str">
        <f t="shared" si="311"/>
        <v>00</v>
      </c>
      <c r="CR127" t="str">
        <f t="shared" si="312"/>
        <v>00</v>
      </c>
      <c r="CS127" t="str">
        <f t="shared" si="313"/>
        <v>00</v>
      </c>
      <c r="CT127" t="str">
        <f t="shared" si="314"/>
        <v>00</v>
      </c>
      <c r="CU127" t="str">
        <f t="shared" si="315"/>
        <v>00</v>
      </c>
      <c r="CV127" t="str">
        <f t="shared" si="316"/>
        <v>00</v>
      </c>
      <c r="CW127" t="str">
        <f t="shared" si="317"/>
        <v>00</v>
      </c>
      <c r="CX127" t="str">
        <f t="shared" si="318"/>
        <v>00</v>
      </c>
      <c r="CY127" t="str">
        <f t="shared" si="319"/>
        <v>00</v>
      </c>
      <c r="CZ127" t="str">
        <f t="shared" si="320"/>
        <v>00</v>
      </c>
      <c r="DA127" t="str">
        <f t="shared" si="321"/>
        <v>00</v>
      </c>
      <c r="DB127" t="str">
        <f t="shared" si="322"/>
        <v>03</v>
      </c>
      <c r="DC127" t="str">
        <f t="shared" ref="DC127:DC128" si="327">_xlfn.CONCAT(CI127:DB127)</f>
        <v>0107040000000000000000000000000000000003</v>
      </c>
      <c r="DD127" t="str">
        <f t="shared" ref="DD127:DD128" si="328">_xlfn.CONCAT(C127:U127)</f>
        <v>Privacy</v>
      </c>
      <c r="DE127" t="s">
        <v>249</v>
      </c>
      <c r="DF127" t="s">
        <v>223</v>
      </c>
      <c r="DG127" t="s">
        <v>224</v>
      </c>
      <c r="DH127" t="s">
        <v>225</v>
      </c>
      <c r="DI127" t="s">
        <v>226</v>
      </c>
      <c r="DJ127" t="s">
        <v>227</v>
      </c>
      <c r="DK127" t="s">
        <v>228</v>
      </c>
      <c r="DL127" t="str">
        <f t="shared" ref="DL127:DL128" si="329">_xlfn.TEXTJOIN(",", TRUE,CE127:DK127)</f>
        <v>115,00,00,00,01,07,04,00,00,00,00,00,00,00,00,00,00,00,00,00,00,00,00,03,0107040000000000000000000000000000000003,Privacy,file115,Blk1,Blk2,Blk3,Blk4,Blk5,Blk6</v>
      </c>
    </row>
    <row r="128" spans="2:116" x14ac:dyDescent="0.25">
      <c r="B128">
        <f t="shared" si="205"/>
        <v>116</v>
      </c>
      <c r="E128" t="s">
        <v>237</v>
      </c>
      <c r="W128">
        <f t="shared" si="244"/>
        <v>0</v>
      </c>
      <c r="X128">
        <f t="shared" si="245"/>
        <v>0</v>
      </c>
      <c r="Y128">
        <f t="shared" si="246"/>
        <v>1</v>
      </c>
      <c r="Z128">
        <f t="shared" si="247"/>
        <v>0</v>
      </c>
      <c r="AA128">
        <f t="shared" si="248"/>
        <v>0</v>
      </c>
      <c r="AB128">
        <f t="shared" si="249"/>
        <v>0</v>
      </c>
      <c r="AC128">
        <f t="shared" si="250"/>
        <v>0</v>
      </c>
      <c r="AD128">
        <f t="shared" si="251"/>
        <v>0</v>
      </c>
      <c r="AE128">
        <f t="shared" si="252"/>
        <v>0</v>
      </c>
      <c r="AF128">
        <f t="shared" si="253"/>
        <v>0</v>
      </c>
      <c r="AG128">
        <f t="shared" si="254"/>
        <v>0</v>
      </c>
      <c r="AH128">
        <f t="shared" si="255"/>
        <v>0</v>
      </c>
      <c r="AI128">
        <f t="shared" si="256"/>
        <v>0</v>
      </c>
      <c r="AJ128">
        <f t="shared" si="257"/>
        <v>0</v>
      </c>
      <c r="AK128">
        <f t="shared" si="258"/>
        <v>0</v>
      </c>
      <c r="AL128">
        <f t="shared" si="259"/>
        <v>0</v>
      </c>
      <c r="AM128">
        <f t="shared" si="260"/>
        <v>0</v>
      </c>
      <c r="AN128">
        <f t="shared" si="261"/>
        <v>0</v>
      </c>
      <c r="AO128">
        <f t="shared" si="262"/>
        <v>0</v>
      </c>
      <c r="AP128" s="2" t="str">
        <f t="shared" si="263"/>
        <v/>
      </c>
      <c r="AQ128" t="str">
        <f t="shared" si="264"/>
        <v>S</v>
      </c>
      <c r="AR128" t="str">
        <f t="shared" si="265"/>
        <v>S</v>
      </c>
      <c r="AS128" t="str">
        <f t="shared" si="266"/>
        <v>+</v>
      </c>
      <c r="AT128" t="str">
        <f t="shared" si="267"/>
        <v/>
      </c>
      <c r="AU128" t="str">
        <f t="shared" si="268"/>
        <v/>
      </c>
      <c r="AV128" t="str">
        <f t="shared" si="269"/>
        <v/>
      </c>
      <c r="AW128" t="str">
        <f t="shared" si="270"/>
        <v/>
      </c>
      <c r="AX128" t="str">
        <f t="shared" si="271"/>
        <v/>
      </c>
      <c r="AY128" t="str">
        <f t="shared" si="272"/>
        <v/>
      </c>
      <c r="AZ128" t="str">
        <f t="shared" si="273"/>
        <v/>
      </c>
      <c r="BA128" t="str">
        <f t="shared" si="274"/>
        <v/>
      </c>
      <c r="BB128" t="str">
        <f t="shared" si="275"/>
        <v/>
      </c>
      <c r="BC128" t="str">
        <f t="shared" si="276"/>
        <v/>
      </c>
      <c r="BD128" t="str">
        <f t="shared" si="277"/>
        <v/>
      </c>
      <c r="BE128" t="str">
        <f t="shared" si="278"/>
        <v/>
      </c>
      <c r="BF128" t="str">
        <f t="shared" si="279"/>
        <v/>
      </c>
      <c r="BG128" t="str">
        <f t="shared" si="280"/>
        <v/>
      </c>
      <c r="BH128" t="str">
        <f t="shared" si="281"/>
        <v/>
      </c>
      <c r="BI128" t="str">
        <f t="shared" si="282"/>
        <v/>
      </c>
      <c r="BK128">
        <f t="shared" si="283"/>
        <v>1</v>
      </c>
      <c r="BL128">
        <f t="shared" si="284"/>
        <v>7</v>
      </c>
      <c r="BM128">
        <f t="shared" si="285"/>
        <v>5</v>
      </c>
      <c r="BN128">
        <f t="shared" si="286"/>
        <v>0</v>
      </c>
      <c r="BO128">
        <f t="shared" si="287"/>
        <v>0</v>
      </c>
      <c r="BP128">
        <f t="shared" si="288"/>
        <v>0</v>
      </c>
      <c r="BQ128">
        <f t="shared" si="289"/>
        <v>0</v>
      </c>
      <c r="BR128">
        <f t="shared" si="290"/>
        <v>0</v>
      </c>
      <c r="BS128">
        <f t="shared" si="291"/>
        <v>0</v>
      </c>
      <c r="BT128">
        <f t="shared" si="292"/>
        <v>0</v>
      </c>
      <c r="BU128">
        <f t="shared" si="293"/>
        <v>0</v>
      </c>
      <c r="BV128">
        <f t="shared" si="294"/>
        <v>0</v>
      </c>
      <c r="BW128">
        <f t="shared" si="295"/>
        <v>0</v>
      </c>
      <c r="BX128">
        <f t="shared" si="296"/>
        <v>0</v>
      </c>
      <c r="BY128">
        <f t="shared" si="297"/>
        <v>0</v>
      </c>
      <c r="BZ128">
        <f t="shared" si="298"/>
        <v>0</v>
      </c>
      <c r="CA128">
        <f t="shared" si="299"/>
        <v>0</v>
      </c>
      <c r="CB128">
        <f t="shared" si="300"/>
        <v>0</v>
      </c>
      <c r="CC128">
        <f t="shared" si="301"/>
        <v>0</v>
      </c>
      <c r="CE128" t="str">
        <f t="shared" si="302"/>
        <v>116</v>
      </c>
      <c r="CF128" t="str">
        <f t="shared" si="326"/>
        <v>00</v>
      </c>
      <c r="CG128" t="str">
        <f t="shared" si="326"/>
        <v>00</v>
      </c>
      <c r="CH128" t="str">
        <f t="shared" si="326"/>
        <v>00</v>
      </c>
      <c r="CI128" t="str">
        <f t="shared" si="303"/>
        <v>01</v>
      </c>
      <c r="CJ128" t="str">
        <f t="shared" si="304"/>
        <v>07</v>
      </c>
      <c r="CK128" t="str">
        <f t="shared" si="305"/>
        <v>05</v>
      </c>
      <c r="CL128" t="str">
        <f t="shared" si="306"/>
        <v>00</v>
      </c>
      <c r="CM128" t="str">
        <f t="shared" si="307"/>
        <v>00</v>
      </c>
      <c r="CN128" t="str">
        <f t="shared" si="308"/>
        <v>00</v>
      </c>
      <c r="CO128" t="str">
        <f t="shared" si="309"/>
        <v>00</v>
      </c>
      <c r="CP128" t="str">
        <f t="shared" si="310"/>
        <v>00</v>
      </c>
      <c r="CQ128" t="str">
        <f t="shared" si="311"/>
        <v>00</v>
      </c>
      <c r="CR128" t="str">
        <f t="shared" si="312"/>
        <v>00</v>
      </c>
      <c r="CS128" t="str">
        <f t="shared" si="313"/>
        <v>00</v>
      </c>
      <c r="CT128" t="str">
        <f t="shared" si="314"/>
        <v>00</v>
      </c>
      <c r="CU128" t="str">
        <f t="shared" si="315"/>
        <v>00</v>
      </c>
      <c r="CV128" t="str">
        <f t="shared" si="316"/>
        <v>00</v>
      </c>
      <c r="CW128" t="str">
        <f t="shared" si="317"/>
        <v>00</v>
      </c>
      <c r="CX128" t="str">
        <f t="shared" si="318"/>
        <v>00</v>
      </c>
      <c r="CY128" t="str">
        <f t="shared" si="319"/>
        <v>00</v>
      </c>
      <c r="CZ128" t="str">
        <f t="shared" si="320"/>
        <v>00</v>
      </c>
      <c r="DA128" t="str">
        <f t="shared" si="321"/>
        <v>00</v>
      </c>
      <c r="DB128" t="str">
        <f t="shared" si="322"/>
        <v>03</v>
      </c>
      <c r="DC128" t="str">
        <f t="shared" si="327"/>
        <v>0107050000000000000000000000000000000003</v>
      </c>
      <c r="DD128" t="str">
        <f t="shared" si="328"/>
        <v>Account</v>
      </c>
      <c r="DE128" t="s">
        <v>250</v>
      </c>
      <c r="DF128" t="s">
        <v>223</v>
      </c>
      <c r="DG128" t="s">
        <v>224</v>
      </c>
      <c r="DH128" t="s">
        <v>225</v>
      </c>
      <c r="DI128" t="s">
        <v>226</v>
      </c>
      <c r="DJ128" t="s">
        <v>227</v>
      </c>
      <c r="DK128" t="s">
        <v>228</v>
      </c>
      <c r="DL128" t="str">
        <f t="shared" si="329"/>
        <v>116,00,00,00,01,07,05,00,00,00,00,00,00,00,00,00,00,00,00,00,00,00,00,03,0107050000000000000000000000000000000003,Account,file116,Blk1,Blk2,Blk3,Blk4,Blk5,Blk6</v>
      </c>
    </row>
  </sheetData>
  <mergeCells count="1">
    <mergeCell ref="W11:AO1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2F46-EA1B-477B-9506-DB6413D3417A}">
  <dimension ref="B2:BU110"/>
  <sheetViews>
    <sheetView topLeftCell="BH54" zoomScaleNormal="100" workbookViewId="0">
      <selection activeCell="BS5" sqref="BS5"/>
    </sheetView>
  </sheetViews>
  <sheetFormatPr defaultRowHeight="15" x14ac:dyDescent="0.25"/>
  <cols>
    <col min="1" max="1" width="4" customWidth="1"/>
    <col min="2" max="2" width="13.28515625" customWidth="1"/>
    <col min="3" max="3" width="4" bestFit="1" customWidth="1"/>
    <col min="4" max="4" width="2" bestFit="1" customWidth="1"/>
    <col min="5" max="5" width="2.5703125" customWidth="1"/>
    <col min="6" max="13" width="2" bestFit="1" customWidth="1"/>
    <col min="14" max="19" width="3" bestFit="1" customWidth="1"/>
    <col min="20" max="20" width="3" customWidth="1"/>
    <col min="21" max="39" width="3" bestFit="1" customWidth="1"/>
    <col min="40" max="43" width="3" customWidth="1"/>
    <col min="44" max="44" width="4" bestFit="1" customWidth="1"/>
    <col min="45" max="66" width="3" customWidth="1"/>
    <col min="67" max="67" width="6.42578125" customWidth="1"/>
    <col min="68" max="68" width="42.140625" bestFit="1" customWidth="1"/>
    <col min="69" max="69" width="21.5703125" customWidth="1"/>
    <col min="70" max="70" width="14.140625" customWidth="1"/>
    <col min="71" max="71" width="130.28515625" bestFit="1" customWidth="1"/>
  </cols>
  <sheetData>
    <row r="2" spans="2:73" x14ac:dyDescent="0.25">
      <c r="D2" s="1"/>
      <c r="E2" s="6" t="s">
        <v>11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BQ2" s="8" t="s">
        <v>12</v>
      </c>
      <c r="BR2" s="8"/>
    </row>
    <row r="3" spans="2:73" x14ac:dyDescent="0.25">
      <c r="E3" t="s">
        <v>4</v>
      </c>
      <c r="T3" t="s">
        <v>5</v>
      </c>
      <c r="X3">
        <v>0</v>
      </c>
      <c r="Y3">
        <f>X3+1</f>
        <v>1</v>
      </c>
      <c r="Z3">
        <f t="shared" ref="Z3:AM3" si="0">Y3+1</f>
        <v>2</v>
      </c>
      <c r="AA3">
        <f t="shared" si="0"/>
        <v>3</v>
      </c>
      <c r="AB3">
        <f t="shared" si="0"/>
        <v>4</v>
      </c>
      <c r="AC3">
        <f t="shared" si="0"/>
        <v>5</v>
      </c>
      <c r="AD3">
        <f t="shared" si="0"/>
        <v>6</v>
      </c>
      <c r="AE3">
        <f t="shared" si="0"/>
        <v>7</v>
      </c>
      <c r="AF3">
        <f t="shared" si="0"/>
        <v>8</v>
      </c>
      <c r="AG3">
        <f t="shared" si="0"/>
        <v>9</v>
      </c>
      <c r="AH3">
        <f t="shared" si="0"/>
        <v>10</v>
      </c>
      <c r="AI3">
        <f t="shared" si="0"/>
        <v>11</v>
      </c>
      <c r="AJ3">
        <f t="shared" si="0"/>
        <v>12</v>
      </c>
      <c r="AK3">
        <f>AJ3+1</f>
        <v>13</v>
      </c>
      <c r="AL3">
        <f t="shared" si="0"/>
        <v>14</v>
      </c>
      <c r="AM3">
        <f t="shared" si="0"/>
        <v>15</v>
      </c>
      <c r="AN3">
        <f t="shared" ref="AN3:AN4" si="1">AM3+1</f>
        <v>16</v>
      </c>
      <c r="AO3">
        <f t="shared" ref="AO3:AO4" si="2">AN3+1</f>
        <v>17</v>
      </c>
      <c r="AP3">
        <f t="shared" ref="AP3:AP4" si="3">AO3+1</f>
        <v>18</v>
      </c>
      <c r="AR3" t="s">
        <v>7</v>
      </c>
      <c r="AS3" t="s">
        <v>8</v>
      </c>
      <c r="AV3">
        <v>0</v>
      </c>
      <c r="AW3">
        <f>AV3+1</f>
        <v>1</v>
      </c>
      <c r="AX3">
        <f t="shared" ref="AX3:AX4" si="4">AW3+1</f>
        <v>2</v>
      </c>
      <c r="AY3">
        <f t="shared" ref="AY3:AY4" si="5">AX3+1</f>
        <v>3</v>
      </c>
      <c r="AZ3">
        <f t="shared" ref="AZ3:AZ4" si="6">AY3+1</f>
        <v>4</v>
      </c>
      <c r="BA3">
        <f t="shared" ref="BA3:BA4" si="7">AZ3+1</f>
        <v>5</v>
      </c>
      <c r="BB3">
        <f t="shared" ref="BB3:BB4" si="8">BA3+1</f>
        <v>6</v>
      </c>
      <c r="BC3">
        <f t="shared" ref="BC3:BC4" si="9">BB3+1</f>
        <v>7</v>
      </c>
      <c r="BD3">
        <f t="shared" ref="BD3:BD4" si="10">BC3+1</f>
        <v>8</v>
      </c>
      <c r="BE3">
        <f t="shared" ref="BE3:BE4" si="11">BD3+1</f>
        <v>9</v>
      </c>
      <c r="BF3">
        <f t="shared" ref="BF3:BF4" si="12">BE3+1</f>
        <v>10</v>
      </c>
      <c r="BG3">
        <f t="shared" ref="BG3:BG4" si="13">BF3+1</f>
        <v>11</v>
      </c>
      <c r="BH3">
        <f t="shared" ref="BH3:BH4" si="14">BG3+1</f>
        <v>12</v>
      </c>
      <c r="BI3">
        <f>BH3+1</f>
        <v>13</v>
      </c>
      <c r="BJ3">
        <f t="shared" ref="BJ3:BJ4" si="15">BI3+1</f>
        <v>14</v>
      </c>
      <c r="BK3">
        <f t="shared" ref="BK3:BK4" si="16">BJ3+1</f>
        <v>15</v>
      </c>
      <c r="BL3">
        <f t="shared" ref="BL3:BL4" si="17">BK3+1</f>
        <v>16</v>
      </c>
      <c r="BM3">
        <f t="shared" ref="BM3:BM4" si="18">BL3+1</f>
        <v>17</v>
      </c>
      <c r="BN3">
        <f t="shared" ref="BN3:BN4" si="19">BM3+1</f>
        <v>18</v>
      </c>
      <c r="BO3" t="s">
        <v>10</v>
      </c>
      <c r="BP3" t="s">
        <v>9</v>
      </c>
      <c r="BQ3" t="s">
        <v>2</v>
      </c>
      <c r="BR3" t="s">
        <v>0</v>
      </c>
      <c r="BS3" t="s">
        <v>3</v>
      </c>
    </row>
    <row r="4" spans="2:73" x14ac:dyDescent="0.25">
      <c r="D4">
        <v>0</v>
      </c>
      <c r="E4">
        <f>D4+1</f>
        <v>1</v>
      </c>
      <c r="F4">
        <f>E4+1</f>
        <v>2</v>
      </c>
      <c r="G4">
        <f t="shared" ref="G4:BU4" si="20">F4+1</f>
        <v>3</v>
      </c>
      <c r="H4">
        <f t="shared" si="20"/>
        <v>4</v>
      </c>
      <c r="I4">
        <f t="shared" si="20"/>
        <v>5</v>
      </c>
      <c r="J4">
        <f t="shared" si="20"/>
        <v>6</v>
      </c>
      <c r="K4">
        <f t="shared" si="20"/>
        <v>7</v>
      </c>
      <c r="L4">
        <f t="shared" si="20"/>
        <v>8</v>
      </c>
      <c r="M4">
        <f t="shared" si="20"/>
        <v>9</v>
      </c>
      <c r="N4">
        <f t="shared" si="20"/>
        <v>10</v>
      </c>
      <c r="O4">
        <f t="shared" si="20"/>
        <v>11</v>
      </c>
      <c r="P4">
        <f t="shared" si="20"/>
        <v>12</v>
      </c>
      <c r="Q4">
        <f t="shared" si="20"/>
        <v>13</v>
      </c>
      <c r="R4">
        <f t="shared" si="20"/>
        <v>14</v>
      </c>
      <c r="S4">
        <f>R4+1</f>
        <v>15</v>
      </c>
      <c r="T4">
        <f t="shared" si="20"/>
        <v>16</v>
      </c>
      <c r="U4">
        <f t="shared" ref="U4" si="21">T4+1</f>
        <v>17</v>
      </c>
      <c r="V4">
        <f t="shared" ref="V4" si="22">U4+1</f>
        <v>18</v>
      </c>
      <c r="W4">
        <f>T4+1</f>
        <v>17</v>
      </c>
      <c r="X4">
        <f t="shared" si="20"/>
        <v>18</v>
      </c>
      <c r="Y4">
        <f t="shared" si="20"/>
        <v>19</v>
      </c>
      <c r="Z4">
        <f t="shared" si="20"/>
        <v>20</v>
      </c>
      <c r="AA4">
        <f t="shared" si="20"/>
        <v>21</v>
      </c>
      <c r="AB4">
        <f t="shared" si="20"/>
        <v>22</v>
      </c>
      <c r="AC4">
        <f t="shared" si="20"/>
        <v>23</v>
      </c>
      <c r="AD4">
        <f t="shared" si="20"/>
        <v>24</v>
      </c>
      <c r="AE4">
        <f t="shared" si="20"/>
        <v>25</v>
      </c>
      <c r="AF4">
        <f t="shared" si="20"/>
        <v>26</v>
      </c>
      <c r="AG4">
        <f t="shared" si="20"/>
        <v>27</v>
      </c>
      <c r="AH4">
        <f t="shared" si="20"/>
        <v>28</v>
      </c>
      <c r="AI4">
        <f t="shared" si="20"/>
        <v>29</v>
      </c>
      <c r="AJ4">
        <f t="shared" si="20"/>
        <v>30</v>
      </c>
      <c r="AK4">
        <f t="shared" si="20"/>
        <v>31</v>
      </c>
      <c r="AL4">
        <f t="shared" si="20"/>
        <v>32</v>
      </c>
      <c r="AM4">
        <f t="shared" si="20"/>
        <v>33</v>
      </c>
      <c r="AN4">
        <f t="shared" si="1"/>
        <v>34</v>
      </c>
      <c r="AO4">
        <f t="shared" si="2"/>
        <v>35</v>
      </c>
      <c r="AP4">
        <f t="shared" si="3"/>
        <v>36</v>
      </c>
      <c r="AQ4">
        <f t="shared" ref="AQ4" si="23">AP4+1</f>
        <v>37</v>
      </c>
      <c r="AR4">
        <f t="shared" ref="AR4" si="24">AQ4+1</f>
        <v>38</v>
      </c>
      <c r="AS4">
        <f t="shared" ref="AS4" si="25">AR4+1</f>
        <v>39</v>
      </c>
      <c r="AT4">
        <f t="shared" ref="AT4" si="26">AS4+1</f>
        <v>40</v>
      </c>
      <c r="AU4">
        <f t="shared" ref="AU4" si="27">AT4+1</f>
        <v>41</v>
      </c>
      <c r="AV4">
        <f t="shared" ref="AV4" si="28">AU4+1</f>
        <v>42</v>
      </c>
      <c r="AW4">
        <f t="shared" ref="AW4" si="29">AV4+1</f>
        <v>43</v>
      </c>
      <c r="AX4">
        <f t="shared" si="4"/>
        <v>44</v>
      </c>
      <c r="AY4">
        <f t="shared" si="5"/>
        <v>45</v>
      </c>
      <c r="AZ4">
        <f t="shared" si="6"/>
        <v>46</v>
      </c>
      <c r="BA4">
        <f t="shared" si="7"/>
        <v>47</v>
      </c>
      <c r="BB4">
        <f t="shared" si="8"/>
        <v>48</v>
      </c>
      <c r="BC4">
        <f t="shared" si="9"/>
        <v>49</v>
      </c>
      <c r="BD4">
        <f t="shared" si="10"/>
        <v>50</v>
      </c>
      <c r="BE4">
        <f t="shared" si="11"/>
        <v>51</v>
      </c>
      <c r="BF4">
        <f t="shared" si="12"/>
        <v>52</v>
      </c>
      <c r="BG4">
        <f t="shared" si="13"/>
        <v>53</v>
      </c>
      <c r="BH4">
        <f t="shared" si="14"/>
        <v>54</v>
      </c>
      <c r="BI4">
        <f t="shared" ref="BI4" si="30">BH4+1</f>
        <v>55</v>
      </c>
      <c r="BJ4">
        <f t="shared" si="15"/>
        <v>56</v>
      </c>
      <c r="BK4">
        <f t="shared" si="16"/>
        <v>57</v>
      </c>
      <c r="BL4">
        <f t="shared" si="17"/>
        <v>58</v>
      </c>
      <c r="BM4">
        <f t="shared" si="18"/>
        <v>59</v>
      </c>
      <c r="BN4">
        <f t="shared" si="19"/>
        <v>60</v>
      </c>
      <c r="BO4">
        <f t="shared" ref="BO4:BP4" si="31">BN4+1</f>
        <v>61</v>
      </c>
      <c r="BP4">
        <f t="shared" si="31"/>
        <v>62</v>
      </c>
      <c r="BQ4">
        <f t="shared" si="20"/>
        <v>63</v>
      </c>
      <c r="BR4">
        <f t="shared" si="20"/>
        <v>64</v>
      </c>
      <c r="BS4">
        <f t="shared" si="20"/>
        <v>65</v>
      </c>
      <c r="BT4">
        <f t="shared" si="20"/>
        <v>66</v>
      </c>
      <c r="BU4">
        <f t="shared" si="20"/>
        <v>67</v>
      </c>
    </row>
    <row r="5" spans="2:73" x14ac:dyDescent="0.25">
      <c r="B5" t="s">
        <v>6</v>
      </c>
      <c r="C5">
        <v>1</v>
      </c>
      <c r="D5">
        <v>1</v>
      </c>
      <c r="E5">
        <v>0</v>
      </c>
      <c r="W5" t="s">
        <v>1</v>
      </c>
      <c r="X5" t="str">
        <f>IF(D5=0,"",IF(D5&lt;&gt;D4,"--",IF(F5=0,"└","|")))</f>
        <v>--</v>
      </c>
      <c r="Y5" t="str">
        <f t="shared" ref="Y5:AP5" si="32">IF(E5=0,"",IF(E5&lt;&gt;E4,"--",IF(G5=0,"└","|")))</f>
        <v/>
      </c>
      <c r="Z5" t="str">
        <f t="shared" si="32"/>
        <v/>
      </c>
      <c r="AA5" t="str">
        <f t="shared" si="32"/>
        <v/>
      </c>
      <c r="AB5" t="str">
        <f t="shared" si="32"/>
        <v/>
      </c>
      <c r="AC5" t="str">
        <f t="shared" si="32"/>
        <v/>
      </c>
      <c r="AD5" t="str">
        <f t="shared" si="32"/>
        <v/>
      </c>
      <c r="AE5" t="str">
        <f t="shared" si="32"/>
        <v/>
      </c>
      <c r="AF5" t="str">
        <f t="shared" si="32"/>
        <v/>
      </c>
      <c r="AG5" t="str">
        <f t="shared" si="32"/>
        <v/>
      </c>
      <c r="AH5" t="str">
        <f t="shared" si="32"/>
        <v/>
      </c>
      <c r="AI5" t="str">
        <f t="shared" si="32"/>
        <v/>
      </c>
      <c r="AJ5" t="str">
        <f t="shared" si="32"/>
        <v/>
      </c>
      <c r="AK5" t="str">
        <f t="shared" si="32"/>
        <v/>
      </c>
      <c r="AL5" t="str">
        <f t="shared" si="32"/>
        <v/>
      </c>
      <c r="AM5" t="str">
        <f t="shared" si="32"/>
        <v/>
      </c>
      <c r="AN5" t="str">
        <f t="shared" si="32"/>
        <v/>
      </c>
      <c r="AO5" t="str">
        <f t="shared" si="32"/>
        <v/>
      </c>
      <c r="AP5" t="str">
        <f t="shared" si="32"/>
        <v/>
      </c>
      <c r="AQ5" t="s">
        <v>1</v>
      </c>
      <c r="AR5" t="str">
        <f>TEXT(C5,"000")</f>
        <v>001</v>
      </c>
      <c r="AS5" t="str">
        <f>TEXT(0,"00")</f>
        <v>00</v>
      </c>
      <c r="AT5" t="str">
        <f t="shared" ref="AT5:AU20" si="33">TEXT(0,"00")</f>
        <v>00</v>
      </c>
      <c r="AU5" t="str">
        <f t="shared" si="33"/>
        <v>00</v>
      </c>
      <c r="AV5" t="str">
        <f>TEXT(D5,"00")</f>
        <v>01</v>
      </c>
      <c r="AW5" t="str">
        <f t="shared" ref="AW5:BN5" si="34">TEXT(E5,"00")</f>
        <v>00</v>
      </c>
      <c r="AX5" t="str">
        <f t="shared" si="34"/>
        <v>00</v>
      </c>
      <c r="AY5" t="str">
        <f t="shared" si="34"/>
        <v>00</v>
      </c>
      <c r="AZ5" t="str">
        <f t="shared" si="34"/>
        <v>00</v>
      </c>
      <c r="BA5" t="str">
        <f t="shared" si="34"/>
        <v>00</v>
      </c>
      <c r="BB5" t="str">
        <f t="shared" si="34"/>
        <v>00</v>
      </c>
      <c r="BC5" t="str">
        <f t="shared" si="34"/>
        <v>00</v>
      </c>
      <c r="BD5" t="str">
        <f t="shared" si="34"/>
        <v>00</v>
      </c>
      <c r="BE5" t="str">
        <f t="shared" si="34"/>
        <v>00</v>
      </c>
      <c r="BF5" t="str">
        <f t="shared" si="34"/>
        <v>00</v>
      </c>
      <c r="BG5" t="str">
        <f t="shared" si="34"/>
        <v>00</v>
      </c>
      <c r="BH5" t="str">
        <f t="shared" si="34"/>
        <v>00</v>
      </c>
      <c r="BI5" t="str">
        <f t="shared" si="34"/>
        <v>00</v>
      </c>
      <c r="BJ5" t="str">
        <f t="shared" si="34"/>
        <v>00</v>
      </c>
      <c r="BK5" t="str">
        <f t="shared" si="34"/>
        <v>00</v>
      </c>
      <c r="BL5" t="str">
        <f t="shared" si="34"/>
        <v>00</v>
      </c>
      <c r="BM5" t="str">
        <f t="shared" si="34"/>
        <v>00</v>
      </c>
      <c r="BN5" t="str">
        <f t="shared" si="34"/>
        <v>00</v>
      </c>
      <c r="BO5" t="str">
        <f>TEXT(COUNTIF(D5:V5,"&gt;0"),"00")</f>
        <v>01</v>
      </c>
      <c r="BP5" t="str">
        <f>_xlfn.CONCAT(AV5:BO5)</f>
        <v>0100000000000000000000000000000000000001</v>
      </c>
      <c r="BQ5" t="str">
        <f>"Menu"&amp;AW5&amp;" L"&amp;BO5&amp;" N"&amp;AR5</f>
        <v>Menu00 L01 N001</v>
      </c>
      <c r="BR5" t="str">
        <f t="shared" ref="BR5" si="35">"file"&amp;C5</f>
        <v>file1</v>
      </c>
      <c r="BS5" t="str">
        <f>_xlfn.TEXTJOIN(",", TRUE, AR5:BR5)</f>
        <v>001,00,00,00,01,00,00,00,00,00,00,00,00,00,00,00,00,00,00,00,00,00,00,01,0100000000000000000000000000000000000001,Menu00 L01 N001,file1</v>
      </c>
    </row>
    <row r="6" spans="2:73" x14ac:dyDescent="0.25">
      <c r="C6">
        <f>C5+1</f>
        <v>2</v>
      </c>
      <c r="D6">
        <v>1</v>
      </c>
      <c r="E6">
        <v>1</v>
      </c>
      <c r="F6">
        <v>0</v>
      </c>
      <c r="W6" t="s">
        <v>1</v>
      </c>
      <c r="X6" t="str">
        <f t="shared" ref="X6:X21" si="36">IF(D6=0,"",IF(D6&lt;&gt;D5,"--",IF(F6=0,"└","|")))</f>
        <v>└</v>
      </c>
      <c r="Y6" t="str">
        <f t="shared" ref="Y6:Y21" si="37">IF(E6=0,"",IF(E6&lt;&gt;E5,"--",IF(G6=0,"└","|")))</f>
        <v>--</v>
      </c>
      <c r="Z6" t="str">
        <f t="shared" ref="Z6:Z21" si="38">IF(F6=0,"",IF(F6&lt;&gt;F5,"--",IF(H6=0,"└","|")))</f>
        <v/>
      </c>
      <c r="AA6" t="str">
        <f t="shared" ref="AA6:AA21" si="39">IF(G6=0,"",IF(G6&lt;&gt;G5,"--",IF(I6=0,"└","|")))</f>
        <v/>
      </c>
      <c r="AB6" t="str">
        <f t="shared" ref="AB6:AB21" si="40">IF(H6=0,"",IF(H6&lt;&gt;H5,"--",IF(J6=0,"└","|")))</f>
        <v/>
      </c>
      <c r="AC6" t="str">
        <f t="shared" ref="AC6:AC21" si="41">IF(I6=0,"",IF(I6&lt;&gt;I5,"--",IF(K6=0,"└","|")))</f>
        <v/>
      </c>
      <c r="AD6" t="str">
        <f t="shared" ref="AD6:AD21" si="42">IF(J6=0,"",IF(J6&lt;&gt;J5,"--",IF(L6=0,"└","|")))</f>
        <v/>
      </c>
      <c r="AE6" t="str">
        <f t="shared" ref="AE6:AE21" si="43">IF(K6=0,"",IF(K6&lt;&gt;K5,"--",IF(M6=0,"└","|")))</f>
        <v/>
      </c>
      <c r="AF6" t="str">
        <f t="shared" ref="AF6:AF21" si="44">IF(L6=0,"",IF(L6&lt;&gt;L5,"--",IF(N6=0,"└","|")))</f>
        <v/>
      </c>
      <c r="AG6" t="str">
        <f t="shared" ref="AG6:AG21" si="45">IF(M6=0,"",IF(M6&lt;&gt;M5,"--",IF(O6=0,"└","|")))</f>
        <v/>
      </c>
      <c r="AH6" t="str">
        <f t="shared" ref="AH6:AH21" si="46">IF(N6=0,"",IF(N6&lt;&gt;N5,"--",IF(P6=0,"└","|")))</f>
        <v/>
      </c>
      <c r="AI6" t="str">
        <f t="shared" ref="AI6:AI21" si="47">IF(O6=0,"",IF(O6&lt;&gt;O5,"--",IF(Q6=0,"└","|")))</f>
        <v/>
      </c>
      <c r="AJ6" t="str">
        <f t="shared" ref="AJ6:AJ21" si="48">IF(P6=0,"",IF(P6&lt;&gt;P5,"--",IF(R6=0,"└","|")))</f>
        <v/>
      </c>
      <c r="AK6" t="str">
        <f t="shared" ref="AK6:AK21" si="49">IF(Q6=0,"",IF(Q6&lt;&gt;Q5,"--",IF(S6=0,"└","|")))</f>
        <v/>
      </c>
      <c r="AL6" t="str">
        <f t="shared" ref="AL6:AL21" si="50">IF(R6=0,"",IF(R6&lt;&gt;R5,"--",IF(T6=0,"└","|")))</f>
        <v/>
      </c>
      <c r="AM6" t="str">
        <f t="shared" ref="AM6:AM21" si="51">IF(S6=0,"",IF(S6&lt;&gt;S5,"--",IF(U6=0,"└","|")))</f>
        <v/>
      </c>
      <c r="AN6" t="str">
        <f t="shared" ref="AN6:AN21" si="52">IF(T6=0,"",IF(T6&lt;&gt;T5,"--",IF(V6=0,"└","|")))</f>
        <v/>
      </c>
      <c r="AO6" t="str">
        <f t="shared" ref="AO6:AO21" si="53">IF(U6=0,"",IF(U6&lt;&gt;U5,"--",IF(W6=0,"└","|")))</f>
        <v/>
      </c>
      <c r="AP6" t="str">
        <f t="shared" ref="AP6:AP21" si="54">IF(V6=0,"",IF(V6&lt;&gt;V5,"--",IF(X6=0,"└","|")))</f>
        <v/>
      </c>
      <c r="AQ6" t="s">
        <v>1</v>
      </c>
      <c r="AR6" t="str">
        <f t="shared" ref="AR6:AR69" si="55">TEXT(C6,"000")</f>
        <v>002</v>
      </c>
      <c r="AS6" t="str">
        <f t="shared" ref="AS6:AU37" si="56">TEXT(0,"00")</f>
        <v>00</v>
      </c>
      <c r="AT6" t="str">
        <f t="shared" si="33"/>
        <v>00</v>
      </c>
      <c r="AU6" t="str">
        <f t="shared" si="33"/>
        <v>00</v>
      </c>
      <c r="AV6" t="str">
        <f t="shared" ref="AV6:AV69" si="57">TEXT(D6,"00")</f>
        <v>01</v>
      </c>
      <c r="AW6" t="str">
        <f t="shared" ref="AW6:AW69" si="58">TEXT(E6,"00")</f>
        <v>01</v>
      </c>
      <c r="AX6" t="str">
        <f t="shared" ref="AX6:AX69" si="59">TEXT(F6,"00")</f>
        <v>00</v>
      </c>
      <c r="AY6" t="str">
        <f t="shared" ref="AY6:AY69" si="60">TEXT(G6,"00")</f>
        <v>00</v>
      </c>
      <c r="AZ6" t="str">
        <f t="shared" ref="AZ6:AZ69" si="61">TEXT(H6,"00")</f>
        <v>00</v>
      </c>
      <c r="BA6" t="str">
        <f t="shared" ref="BA6:BA69" si="62">TEXT(I6,"00")</f>
        <v>00</v>
      </c>
      <c r="BB6" t="str">
        <f t="shared" ref="BB6:BB69" si="63">TEXT(J6,"00")</f>
        <v>00</v>
      </c>
      <c r="BC6" t="str">
        <f t="shared" ref="BC6:BC69" si="64">TEXT(K6,"00")</f>
        <v>00</v>
      </c>
      <c r="BD6" t="str">
        <f t="shared" ref="BD6:BD69" si="65">TEXT(L6,"00")</f>
        <v>00</v>
      </c>
      <c r="BE6" t="str">
        <f t="shared" ref="BE6:BE69" si="66">TEXT(M6,"00")</f>
        <v>00</v>
      </c>
      <c r="BF6" t="str">
        <f t="shared" ref="BF6:BF69" si="67">TEXT(N6,"00")</f>
        <v>00</v>
      </c>
      <c r="BG6" t="str">
        <f t="shared" ref="BG6:BG69" si="68">TEXT(O6,"00")</f>
        <v>00</v>
      </c>
      <c r="BH6" t="str">
        <f t="shared" ref="BH6:BH69" si="69">TEXT(P6,"00")</f>
        <v>00</v>
      </c>
      <c r="BI6" t="str">
        <f t="shared" ref="BI6:BI69" si="70">TEXT(Q6,"00")</f>
        <v>00</v>
      </c>
      <c r="BJ6" t="str">
        <f t="shared" ref="BJ6:BJ69" si="71">TEXT(R6,"00")</f>
        <v>00</v>
      </c>
      <c r="BK6" t="str">
        <f t="shared" ref="BK6:BK69" si="72">TEXT(S6,"00")</f>
        <v>00</v>
      </c>
      <c r="BL6" t="str">
        <f t="shared" ref="BL6:BL69" si="73">TEXT(T6,"00")</f>
        <v>00</v>
      </c>
      <c r="BM6" t="str">
        <f t="shared" ref="BM6:BM69" si="74">TEXT(U6,"00")</f>
        <v>00</v>
      </c>
      <c r="BN6" t="str">
        <f t="shared" ref="BN6:BN69" si="75">TEXT(V6,"00")</f>
        <v>00</v>
      </c>
      <c r="BO6" t="str">
        <f t="shared" ref="BO6:BO69" si="76">TEXT(COUNTIF(D6:V6,"&gt;0"),"00")</f>
        <v>02</v>
      </c>
      <c r="BP6" t="str">
        <f t="shared" ref="BP6:BP69" si="77">_xlfn.CONCAT(AV6:BO6)</f>
        <v>0101000000000000000000000000000000000002</v>
      </c>
      <c r="BQ6" t="str">
        <f>"Menu"&amp;AW6&amp;" L"&amp;BO6&amp;" N"&amp;AR6</f>
        <v>Menu01 L02 N002</v>
      </c>
      <c r="BR6" t="str">
        <f t="shared" ref="BR6:BR37" si="78">"file"&amp;C6</f>
        <v>file2</v>
      </c>
      <c r="BS6" t="str">
        <f t="shared" ref="BS6:BS69" si="79">_xlfn.TEXTJOIN(",", TRUE, AR6:BR6)</f>
        <v>002,00,00,00,01,01,00,00,00,00,00,00,00,00,00,00,00,00,00,00,00,00,00,02,0101000000000000000000000000000000000002,Menu01 L02 N002,file2</v>
      </c>
    </row>
    <row r="7" spans="2:73" x14ac:dyDescent="0.25">
      <c r="C7">
        <f>C6+1</f>
        <v>3</v>
      </c>
      <c r="D7">
        <v>1</v>
      </c>
      <c r="E7">
        <v>2</v>
      </c>
      <c r="F7">
        <v>0</v>
      </c>
      <c r="W7" t="s">
        <v>1</v>
      </c>
      <c r="X7" t="str">
        <f t="shared" si="36"/>
        <v>└</v>
      </c>
      <c r="Y7" t="str">
        <f t="shared" si="37"/>
        <v>--</v>
      </c>
      <c r="Z7" t="str">
        <f t="shared" si="38"/>
        <v/>
      </c>
      <c r="AA7" t="str">
        <f t="shared" si="39"/>
        <v/>
      </c>
      <c r="AB7" t="str">
        <f t="shared" si="40"/>
        <v/>
      </c>
      <c r="AC7" t="str">
        <f t="shared" si="41"/>
        <v/>
      </c>
      <c r="AD7" t="str">
        <f t="shared" si="42"/>
        <v/>
      </c>
      <c r="AE7" t="str">
        <f t="shared" si="43"/>
        <v/>
      </c>
      <c r="AF7" t="str">
        <f t="shared" si="44"/>
        <v/>
      </c>
      <c r="AG7" t="str">
        <f t="shared" si="45"/>
        <v/>
      </c>
      <c r="AH7" t="str">
        <f t="shared" si="46"/>
        <v/>
      </c>
      <c r="AI7" t="str">
        <f t="shared" si="47"/>
        <v/>
      </c>
      <c r="AJ7" t="str">
        <f t="shared" si="48"/>
        <v/>
      </c>
      <c r="AK7" t="str">
        <f t="shared" si="49"/>
        <v/>
      </c>
      <c r="AL7" t="str">
        <f t="shared" si="50"/>
        <v/>
      </c>
      <c r="AM7" t="str">
        <f t="shared" si="51"/>
        <v/>
      </c>
      <c r="AN7" t="str">
        <f t="shared" si="52"/>
        <v/>
      </c>
      <c r="AO7" t="str">
        <f t="shared" si="53"/>
        <v/>
      </c>
      <c r="AP7" t="str">
        <f t="shared" si="54"/>
        <v/>
      </c>
      <c r="AQ7" t="s">
        <v>1</v>
      </c>
      <c r="AR7" t="str">
        <f t="shared" si="55"/>
        <v>003</v>
      </c>
      <c r="AS7" t="str">
        <f t="shared" si="56"/>
        <v>00</v>
      </c>
      <c r="AT7" t="str">
        <f t="shared" si="33"/>
        <v>00</v>
      </c>
      <c r="AU7" t="str">
        <f t="shared" si="33"/>
        <v>00</v>
      </c>
      <c r="AV7" t="str">
        <f t="shared" si="57"/>
        <v>01</v>
      </c>
      <c r="AW7" t="str">
        <f t="shared" si="58"/>
        <v>02</v>
      </c>
      <c r="AX7" t="str">
        <f t="shared" si="59"/>
        <v>00</v>
      </c>
      <c r="AY7" t="str">
        <f t="shared" si="60"/>
        <v>00</v>
      </c>
      <c r="AZ7" t="str">
        <f t="shared" si="61"/>
        <v>00</v>
      </c>
      <c r="BA7" t="str">
        <f t="shared" si="62"/>
        <v>00</v>
      </c>
      <c r="BB7" t="str">
        <f t="shared" si="63"/>
        <v>00</v>
      </c>
      <c r="BC7" t="str">
        <f t="shared" si="64"/>
        <v>00</v>
      </c>
      <c r="BD7" t="str">
        <f t="shared" si="65"/>
        <v>00</v>
      </c>
      <c r="BE7" t="str">
        <f t="shared" si="66"/>
        <v>00</v>
      </c>
      <c r="BF7" t="str">
        <f t="shared" si="67"/>
        <v>00</v>
      </c>
      <c r="BG7" t="str">
        <f t="shared" si="68"/>
        <v>00</v>
      </c>
      <c r="BH7" t="str">
        <f t="shared" si="69"/>
        <v>00</v>
      </c>
      <c r="BI7" t="str">
        <f t="shared" si="70"/>
        <v>00</v>
      </c>
      <c r="BJ7" t="str">
        <f t="shared" si="71"/>
        <v>00</v>
      </c>
      <c r="BK7" t="str">
        <f t="shared" si="72"/>
        <v>00</v>
      </c>
      <c r="BL7" t="str">
        <f t="shared" si="73"/>
        <v>00</v>
      </c>
      <c r="BM7" t="str">
        <f t="shared" si="74"/>
        <v>00</v>
      </c>
      <c r="BN7" t="str">
        <f t="shared" si="75"/>
        <v>00</v>
      </c>
      <c r="BO7" t="str">
        <f t="shared" si="76"/>
        <v>02</v>
      </c>
      <c r="BP7" t="str">
        <f t="shared" si="77"/>
        <v>0102000000000000000000000000000000000002</v>
      </c>
      <c r="BQ7" t="str">
        <f t="shared" ref="BQ7:BQ70" si="80">"Menu"&amp;AW7&amp;" L"&amp;BO7&amp;" N"&amp;AR7</f>
        <v>Menu02 L02 N003</v>
      </c>
      <c r="BR7" t="str">
        <f t="shared" si="78"/>
        <v>file3</v>
      </c>
      <c r="BS7" t="str">
        <f t="shared" si="79"/>
        <v>003,00,00,00,01,02,00,00,00,00,00,00,00,00,00,00,00,00,00,00,00,00,00,02,0102000000000000000000000000000000000002,Menu02 L02 N003,file3</v>
      </c>
    </row>
    <row r="8" spans="2:73" x14ac:dyDescent="0.25">
      <c r="C8">
        <f t="shared" ref="C8:C71" si="81">C7+1</f>
        <v>4</v>
      </c>
      <c r="D8">
        <v>1</v>
      </c>
      <c r="E8">
        <v>2</v>
      </c>
      <c r="F8">
        <v>1</v>
      </c>
      <c r="W8" t="s">
        <v>1</v>
      </c>
      <c r="X8" t="str">
        <f t="shared" si="36"/>
        <v>|</v>
      </c>
      <c r="Y8" t="str">
        <f t="shared" si="37"/>
        <v>└</v>
      </c>
      <c r="Z8" t="str">
        <f t="shared" si="38"/>
        <v>--</v>
      </c>
      <c r="AA8" t="str">
        <f t="shared" si="39"/>
        <v/>
      </c>
      <c r="AB8" t="str">
        <f t="shared" si="40"/>
        <v/>
      </c>
      <c r="AC8" t="str">
        <f t="shared" si="41"/>
        <v/>
      </c>
      <c r="AD8" t="str">
        <f t="shared" si="42"/>
        <v/>
      </c>
      <c r="AE8" t="str">
        <f t="shared" si="43"/>
        <v/>
      </c>
      <c r="AF8" t="str">
        <f t="shared" si="44"/>
        <v/>
      </c>
      <c r="AG8" t="str">
        <f t="shared" si="45"/>
        <v/>
      </c>
      <c r="AH8" t="str">
        <f t="shared" si="46"/>
        <v/>
      </c>
      <c r="AI8" t="str">
        <f t="shared" si="47"/>
        <v/>
      </c>
      <c r="AJ8" t="str">
        <f t="shared" si="48"/>
        <v/>
      </c>
      <c r="AK8" t="str">
        <f t="shared" si="49"/>
        <v/>
      </c>
      <c r="AL8" t="str">
        <f t="shared" si="50"/>
        <v/>
      </c>
      <c r="AM8" t="str">
        <f t="shared" si="51"/>
        <v/>
      </c>
      <c r="AN8" t="str">
        <f t="shared" si="52"/>
        <v/>
      </c>
      <c r="AO8" t="str">
        <f t="shared" si="53"/>
        <v/>
      </c>
      <c r="AP8" t="str">
        <f t="shared" si="54"/>
        <v/>
      </c>
      <c r="AQ8" t="s">
        <v>1</v>
      </c>
      <c r="AR8" t="str">
        <f t="shared" si="55"/>
        <v>004</v>
      </c>
      <c r="AS8" t="str">
        <f t="shared" si="56"/>
        <v>00</v>
      </c>
      <c r="AT8" t="str">
        <f t="shared" si="33"/>
        <v>00</v>
      </c>
      <c r="AU8" t="str">
        <f t="shared" si="33"/>
        <v>00</v>
      </c>
      <c r="AV8" t="str">
        <f t="shared" si="57"/>
        <v>01</v>
      </c>
      <c r="AW8" t="str">
        <f t="shared" si="58"/>
        <v>02</v>
      </c>
      <c r="AX8" t="str">
        <f t="shared" si="59"/>
        <v>01</v>
      </c>
      <c r="AY8" t="str">
        <f t="shared" si="60"/>
        <v>00</v>
      </c>
      <c r="AZ8" t="str">
        <f t="shared" si="61"/>
        <v>00</v>
      </c>
      <c r="BA8" t="str">
        <f t="shared" si="62"/>
        <v>00</v>
      </c>
      <c r="BB8" t="str">
        <f t="shared" si="63"/>
        <v>00</v>
      </c>
      <c r="BC8" t="str">
        <f t="shared" si="64"/>
        <v>00</v>
      </c>
      <c r="BD8" t="str">
        <f t="shared" si="65"/>
        <v>00</v>
      </c>
      <c r="BE8" t="str">
        <f t="shared" si="66"/>
        <v>00</v>
      </c>
      <c r="BF8" t="str">
        <f t="shared" si="67"/>
        <v>00</v>
      </c>
      <c r="BG8" t="str">
        <f t="shared" si="68"/>
        <v>00</v>
      </c>
      <c r="BH8" t="str">
        <f t="shared" si="69"/>
        <v>00</v>
      </c>
      <c r="BI8" t="str">
        <f t="shared" si="70"/>
        <v>00</v>
      </c>
      <c r="BJ8" t="str">
        <f t="shared" si="71"/>
        <v>00</v>
      </c>
      <c r="BK8" t="str">
        <f t="shared" si="72"/>
        <v>00</v>
      </c>
      <c r="BL8" t="str">
        <f t="shared" si="73"/>
        <v>00</v>
      </c>
      <c r="BM8" t="str">
        <f t="shared" si="74"/>
        <v>00</v>
      </c>
      <c r="BN8" t="str">
        <f t="shared" si="75"/>
        <v>00</v>
      </c>
      <c r="BO8" t="str">
        <f t="shared" si="76"/>
        <v>03</v>
      </c>
      <c r="BP8" t="str">
        <f t="shared" si="77"/>
        <v>0102010000000000000000000000000000000003</v>
      </c>
      <c r="BQ8" t="str">
        <f t="shared" si="80"/>
        <v>Menu02 L03 N004</v>
      </c>
      <c r="BR8" t="str">
        <f t="shared" si="78"/>
        <v>file4</v>
      </c>
      <c r="BS8" t="str">
        <f t="shared" si="79"/>
        <v>004,00,00,00,01,02,01,00,00,00,00,00,00,00,00,00,00,00,00,00,00,00,00,03,0102010000000000000000000000000000000003,Menu02 L03 N004,file4</v>
      </c>
    </row>
    <row r="9" spans="2:73" x14ac:dyDescent="0.25">
      <c r="C9">
        <f t="shared" si="81"/>
        <v>5</v>
      </c>
      <c r="D9">
        <v>1</v>
      </c>
      <c r="E9">
        <v>2</v>
      </c>
      <c r="F9">
        <v>2</v>
      </c>
      <c r="W9" t="s">
        <v>1</v>
      </c>
      <c r="X9" t="str">
        <f t="shared" si="36"/>
        <v>|</v>
      </c>
      <c r="Y9" t="str">
        <f t="shared" si="37"/>
        <v>└</v>
      </c>
      <c r="Z9" t="str">
        <f t="shared" si="38"/>
        <v>--</v>
      </c>
      <c r="AA9" t="str">
        <f t="shared" si="39"/>
        <v/>
      </c>
      <c r="AB9" t="str">
        <f t="shared" si="40"/>
        <v/>
      </c>
      <c r="AC9" t="str">
        <f t="shared" si="41"/>
        <v/>
      </c>
      <c r="AD9" t="str">
        <f t="shared" si="42"/>
        <v/>
      </c>
      <c r="AE9" t="str">
        <f t="shared" si="43"/>
        <v/>
      </c>
      <c r="AF9" t="str">
        <f t="shared" si="44"/>
        <v/>
      </c>
      <c r="AG9" t="str">
        <f t="shared" si="45"/>
        <v/>
      </c>
      <c r="AH9" t="str">
        <f t="shared" si="46"/>
        <v/>
      </c>
      <c r="AI9" t="str">
        <f t="shared" si="47"/>
        <v/>
      </c>
      <c r="AJ9" t="str">
        <f t="shared" si="48"/>
        <v/>
      </c>
      <c r="AK9" t="str">
        <f t="shared" si="49"/>
        <v/>
      </c>
      <c r="AL9" t="str">
        <f t="shared" si="50"/>
        <v/>
      </c>
      <c r="AM9" t="str">
        <f t="shared" si="51"/>
        <v/>
      </c>
      <c r="AN9" t="str">
        <f t="shared" si="52"/>
        <v/>
      </c>
      <c r="AO9" t="str">
        <f t="shared" si="53"/>
        <v/>
      </c>
      <c r="AP9" t="str">
        <f t="shared" si="54"/>
        <v/>
      </c>
      <c r="AQ9" t="s">
        <v>1</v>
      </c>
      <c r="AR9" t="str">
        <f t="shared" si="55"/>
        <v>005</v>
      </c>
      <c r="AS9" t="str">
        <f t="shared" si="56"/>
        <v>00</v>
      </c>
      <c r="AT9" t="str">
        <f t="shared" si="33"/>
        <v>00</v>
      </c>
      <c r="AU9" t="str">
        <f t="shared" si="33"/>
        <v>00</v>
      </c>
      <c r="AV9" t="str">
        <f t="shared" si="57"/>
        <v>01</v>
      </c>
      <c r="AW9" t="str">
        <f t="shared" si="58"/>
        <v>02</v>
      </c>
      <c r="AX9" t="str">
        <f t="shared" si="59"/>
        <v>02</v>
      </c>
      <c r="AY9" t="str">
        <f t="shared" si="60"/>
        <v>00</v>
      </c>
      <c r="AZ9" t="str">
        <f t="shared" si="61"/>
        <v>00</v>
      </c>
      <c r="BA9" t="str">
        <f t="shared" si="62"/>
        <v>00</v>
      </c>
      <c r="BB9" t="str">
        <f t="shared" si="63"/>
        <v>00</v>
      </c>
      <c r="BC9" t="str">
        <f t="shared" si="64"/>
        <v>00</v>
      </c>
      <c r="BD9" t="str">
        <f t="shared" si="65"/>
        <v>00</v>
      </c>
      <c r="BE9" t="str">
        <f t="shared" si="66"/>
        <v>00</v>
      </c>
      <c r="BF9" t="str">
        <f t="shared" si="67"/>
        <v>00</v>
      </c>
      <c r="BG9" t="str">
        <f t="shared" si="68"/>
        <v>00</v>
      </c>
      <c r="BH9" t="str">
        <f t="shared" si="69"/>
        <v>00</v>
      </c>
      <c r="BI9" t="str">
        <f t="shared" si="70"/>
        <v>00</v>
      </c>
      <c r="BJ9" t="str">
        <f t="shared" si="71"/>
        <v>00</v>
      </c>
      <c r="BK9" t="str">
        <f t="shared" si="72"/>
        <v>00</v>
      </c>
      <c r="BL9" t="str">
        <f t="shared" si="73"/>
        <v>00</v>
      </c>
      <c r="BM9" t="str">
        <f t="shared" si="74"/>
        <v>00</v>
      </c>
      <c r="BN9" t="str">
        <f t="shared" si="75"/>
        <v>00</v>
      </c>
      <c r="BO9" t="str">
        <f t="shared" si="76"/>
        <v>03</v>
      </c>
      <c r="BP9" t="str">
        <f t="shared" si="77"/>
        <v>0102020000000000000000000000000000000003</v>
      </c>
      <c r="BQ9" t="str">
        <f t="shared" si="80"/>
        <v>Menu02 L03 N005</v>
      </c>
      <c r="BR9" t="str">
        <f t="shared" si="78"/>
        <v>file5</v>
      </c>
      <c r="BS9" t="str">
        <f t="shared" si="79"/>
        <v>005,00,00,00,01,02,02,00,00,00,00,00,00,00,00,00,00,00,00,00,00,00,00,03,0102020000000000000000000000000000000003,Menu02 L03 N005,file5</v>
      </c>
    </row>
    <row r="10" spans="2:73" x14ac:dyDescent="0.25">
      <c r="C10">
        <f t="shared" si="81"/>
        <v>6</v>
      </c>
      <c r="D10">
        <v>1</v>
      </c>
      <c r="E10">
        <v>2</v>
      </c>
      <c r="F10">
        <v>3</v>
      </c>
      <c r="W10" t="s">
        <v>1</v>
      </c>
      <c r="X10" t="str">
        <f t="shared" si="36"/>
        <v>|</v>
      </c>
      <c r="Y10" t="str">
        <f t="shared" si="37"/>
        <v>└</v>
      </c>
      <c r="Z10" t="str">
        <f t="shared" si="38"/>
        <v>--</v>
      </c>
      <c r="AA10" t="str">
        <f t="shared" si="39"/>
        <v/>
      </c>
      <c r="AB10" t="str">
        <f t="shared" si="40"/>
        <v/>
      </c>
      <c r="AC10" t="str">
        <f t="shared" si="41"/>
        <v/>
      </c>
      <c r="AD10" t="str">
        <f t="shared" si="42"/>
        <v/>
      </c>
      <c r="AE10" t="str">
        <f t="shared" si="43"/>
        <v/>
      </c>
      <c r="AF10" t="str">
        <f t="shared" si="44"/>
        <v/>
      </c>
      <c r="AG10" t="str">
        <f t="shared" si="45"/>
        <v/>
      </c>
      <c r="AH10" t="str">
        <f t="shared" si="46"/>
        <v/>
      </c>
      <c r="AI10" t="str">
        <f t="shared" si="47"/>
        <v/>
      </c>
      <c r="AJ10" t="str">
        <f t="shared" si="48"/>
        <v/>
      </c>
      <c r="AK10" t="str">
        <f t="shared" si="49"/>
        <v/>
      </c>
      <c r="AL10" t="str">
        <f t="shared" si="50"/>
        <v/>
      </c>
      <c r="AM10" t="str">
        <f t="shared" si="51"/>
        <v/>
      </c>
      <c r="AN10" t="str">
        <f t="shared" si="52"/>
        <v/>
      </c>
      <c r="AO10" t="str">
        <f t="shared" si="53"/>
        <v/>
      </c>
      <c r="AP10" t="str">
        <f t="shared" si="54"/>
        <v/>
      </c>
      <c r="AQ10" t="s">
        <v>1</v>
      </c>
      <c r="AR10" t="str">
        <f t="shared" si="55"/>
        <v>006</v>
      </c>
      <c r="AS10" t="str">
        <f t="shared" si="56"/>
        <v>00</v>
      </c>
      <c r="AT10" t="str">
        <f t="shared" si="33"/>
        <v>00</v>
      </c>
      <c r="AU10" t="str">
        <f t="shared" si="33"/>
        <v>00</v>
      </c>
      <c r="AV10" t="str">
        <f t="shared" si="57"/>
        <v>01</v>
      </c>
      <c r="AW10" t="str">
        <f t="shared" si="58"/>
        <v>02</v>
      </c>
      <c r="AX10" t="str">
        <f t="shared" si="59"/>
        <v>03</v>
      </c>
      <c r="AY10" t="str">
        <f t="shared" si="60"/>
        <v>00</v>
      </c>
      <c r="AZ10" t="str">
        <f t="shared" si="61"/>
        <v>00</v>
      </c>
      <c r="BA10" t="str">
        <f t="shared" si="62"/>
        <v>00</v>
      </c>
      <c r="BB10" t="str">
        <f t="shared" si="63"/>
        <v>00</v>
      </c>
      <c r="BC10" t="str">
        <f t="shared" si="64"/>
        <v>00</v>
      </c>
      <c r="BD10" t="str">
        <f t="shared" si="65"/>
        <v>00</v>
      </c>
      <c r="BE10" t="str">
        <f t="shared" si="66"/>
        <v>00</v>
      </c>
      <c r="BF10" t="str">
        <f t="shared" si="67"/>
        <v>00</v>
      </c>
      <c r="BG10" t="str">
        <f t="shared" si="68"/>
        <v>00</v>
      </c>
      <c r="BH10" t="str">
        <f t="shared" si="69"/>
        <v>00</v>
      </c>
      <c r="BI10" t="str">
        <f t="shared" si="70"/>
        <v>00</v>
      </c>
      <c r="BJ10" t="str">
        <f t="shared" si="71"/>
        <v>00</v>
      </c>
      <c r="BK10" t="str">
        <f t="shared" si="72"/>
        <v>00</v>
      </c>
      <c r="BL10" t="str">
        <f t="shared" si="73"/>
        <v>00</v>
      </c>
      <c r="BM10" t="str">
        <f t="shared" si="74"/>
        <v>00</v>
      </c>
      <c r="BN10" t="str">
        <f t="shared" si="75"/>
        <v>00</v>
      </c>
      <c r="BO10" t="str">
        <f t="shared" si="76"/>
        <v>03</v>
      </c>
      <c r="BP10" t="str">
        <f t="shared" si="77"/>
        <v>0102030000000000000000000000000000000003</v>
      </c>
      <c r="BQ10" t="str">
        <f t="shared" si="80"/>
        <v>Menu02 L03 N006</v>
      </c>
      <c r="BR10" t="str">
        <f t="shared" si="78"/>
        <v>file6</v>
      </c>
      <c r="BS10" t="str">
        <f t="shared" si="79"/>
        <v>006,00,00,00,01,02,03,00,00,00,00,00,00,00,00,00,00,00,00,00,00,00,00,03,0102030000000000000000000000000000000003,Menu02 L03 N006,file6</v>
      </c>
    </row>
    <row r="11" spans="2:73" x14ac:dyDescent="0.25">
      <c r="C11">
        <f t="shared" si="81"/>
        <v>7</v>
      </c>
      <c r="D11">
        <v>1</v>
      </c>
      <c r="E11">
        <v>3</v>
      </c>
      <c r="F11">
        <v>0</v>
      </c>
      <c r="W11" t="s">
        <v>1</v>
      </c>
      <c r="X11" t="str">
        <f t="shared" si="36"/>
        <v>└</v>
      </c>
      <c r="Y11" t="str">
        <f t="shared" si="37"/>
        <v>--</v>
      </c>
      <c r="Z11" t="str">
        <f t="shared" si="38"/>
        <v/>
      </c>
      <c r="AA11" t="str">
        <f t="shared" si="39"/>
        <v/>
      </c>
      <c r="AB11" t="str">
        <f t="shared" si="40"/>
        <v/>
      </c>
      <c r="AC11" t="str">
        <f t="shared" si="41"/>
        <v/>
      </c>
      <c r="AD11" t="str">
        <f t="shared" si="42"/>
        <v/>
      </c>
      <c r="AE11" t="str">
        <f t="shared" si="43"/>
        <v/>
      </c>
      <c r="AF11" t="str">
        <f t="shared" si="44"/>
        <v/>
      </c>
      <c r="AG11" t="str">
        <f t="shared" si="45"/>
        <v/>
      </c>
      <c r="AH11" t="str">
        <f t="shared" si="46"/>
        <v/>
      </c>
      <c r="AI11" t="str">
        <f t="shared" si="47"/>
        <v/>
      </c>
      <c r="AJ11" t="str">
        <f t="shared" si="48"/>
        <v/>
      </c>
      <c r="AK11" t="str">
        <f t="shared" si="49"/>
        <v/>
      </c>
      <c r="AL11" t="str">
        <f t="shared" si="50"/>
        <v/>
      </c>
      <c r="AM11" t="str">
        <f t="shared" si="51"/>
        <v/>
      </c>
      <c r="AN11" t="str">
        <f t="shared" si="52"/>
        <v/>
      </c>
      <c r="AO11" t="str">
        <f t="shared" si="53"/>
        <v/>
      </c>
      <c r="AP11" t="str">
        <f t="shared" si="54"/>
        <v/>
      </c>
      <c r="AQ11" t="s">
        <v>1</v>
      </c>
      <c r="AR11" t="str">
        <f t="shared" si="55"/>
        <v>007</v>
      </c>
      <c r="AS11" t="str">
        <f t="shared" si="56"/>
        <v>00</v>
      </c>
      <c r="AT11" t="str">
        <f t="shared" si="33"/>
        <v>00</v>
      </c>
      <c r="AU11" t="str">
        <f t="shared" si="33"/>
        <v>00</v>
      </c>
      <c r="AV11" t="str">
        <f t="shared" si="57"/>
        <v>01</v>
      </c>
      <c r="AW11" t="str">
        <f t="shared" si="58"/>
        <v>03</v>
      </c>
      <c r="AX11" t="str">
        <f t="shared" si="59"/>
        <v>00</v>
      </c>
      <c r="AY11" t="str">
        <f t="shared" si="60"/>
        <v>00</v>
      </c>
      <c r="AZ11" t="str">
        <f t="shared" si="61"/>
        <v>00</v>
      </c>
      <c r="BA11" t="str">
        <f t="shared" si="62"/>
        <v>00</v>
      </c>
      <c r="BB11" t="str">
        <f t="shared" si="63"/>
        <v>00</v>
      </c>
      <c r="BC11" t="str">
        <f t="shared" si="64"/>
        <v>00</v>
      </c>
      <c r="BD11" t="str">
        <f t="shared" si="65"/>
        <v>00</v>
      </c>
      <c r="BE11" t="str">
        <f t="shared" si="66"/>
        <v>00</v>
      </c>
      <c r="BF11" t="str">
        <f t="shared" si="67"/>
        <v>00</v>
      </c>
      <c r="BG11" t="str">
        <f t="shared" si="68"/>
        <v>00</v>
      </c>
      <c r="BH11" t="str">
        <f t="shared" si="69"/>
        <v>00</v>
      </c>
      <c r="BI11" t="str">
        <f t="shared" si="70"/>
        <v>00</v>
      </c>
      <c r="BJ11" t="str">
        <f t="shared" si="71"/>
        <v>00</v>
      </c>
      <c r="BK11" t="str">
        <f t="shared" si="72"/>
        <v>00</v>
      </c>
      <c r="BL11" t="str">
        <f t="shared" si="73"/>
        <v>00</v>
      </c>
      <c r="BM11" t="str">
        <f t="shared" si="74"/>
        <v>00</v>
      </c>
      <c r="BN11" t="str">
        <f t="shared" si="75"/>
        <v>00</v>
      </c>
      <c r="BO11" t="str">
        <f t="shared" si="76"/>
        <v>02</v>
      </c>
      <c r="BP11" t="str">
        <f t="shared" si="77"/>
        <v>0103000000000000000000000000000000000002</v>
      </c>
      <c r="BQ11" t="str">
        <f t="shared" si="80"/>
        <v>Menu03 L02 N007</v>
      </c>
      <c r="BR11" t="str">
        <f t="shared" si="78"/>
        <v>file7</v>
      </c>
      <c r="BS11" t="str">
        <f t="shared" si="79"/>
        <v>007,00,00,00,01,03,00,00,00,00,00,00,00,00,00,00,00,00,00,00,00,00,00,02,0103000000000000000000000000000000000002,Menu03 L02 N007,file7</v>
      </c>
    </row>
    <row r="12" spans="2:73" x14ac:dyDescent="0.25">
      <c r="C12">
        <f t="shared" si="81"/>
        <v>8</v>
      </c>
      <c r="D12">
        <v>1</v>
      </c>
      <c r="E12">
        <v>3</v>
      </c>
      <c r="F12">
        <v>1</v>
      </c>
      <c r="G12">
        <v>0</v>
      </c>
      <c r="W12" t="s">
        <v>1</v>
      </c>
      <c r="X12" t="str">
        <f t="shared" si="36"/>
        <v>|</v>
      </c>
      <c r="Y12" t="str">
        <f t="shared" si="37"/>
        <v>└</v>
      </c>
      <c r="Z12" t="str">
        <f t="shared" si="38"/>
        <v>--</v>
      </c>
      <c r="AA12" t="str">
        <f t="shared" si="39"/>
        <v/>
      </c>
      <c r="AB12" t="str">
        <f t="shared" si="40"/>
        <v/>
      </c>
      <c r="AC12" t="str">
        <f t="shared" si="41"/>
        <v/>
      </c>
      <c r="AD12" t="str">
        <f t="shared" si="42"/>
        <v/>
      </c>
      <c r="AE12" t="str">
        <f t="shared" si="43"/>
        <v/>
      </c>
      <c r="AF12" t="str">
        <f t="shared" si="44"/>
        <v/>
      </c>
      <c r="AG12" t="str">
        <f t="shared" si="45"/>
        <v/>
      </c>
      <c r="AH12" t="str">
        <f t="shared" si="46"/>
        <v/>
      </c>
      <c r="AI12" t="str">
        <f t="shared" si="47"/>
        <v/>
      </c>
      <c r="AJ12" t="str">
        <f t="shared" si="48"/>
        <v/>
      </c>
      <c r="AK12" t="str">
        <f t="shared" si="49"/>
        <v/>
      </c>
      <c r="AL12" t="str">
        <f t="shared" si="50"/>
        <v/>
      </c>
      <c r="AM12" t="str">
        <f t="shared" si="51"/>
        <v/>
      </c>
      <c r="AN12" t="str">
        <f t="shared" si="52"/>
        <v/>
      </c>
      <c r="AO12" t="str">
        <f t="shared" si="53"/>
        <v/>
      </c>
      <c r="AP12" t="str">
        <f t="shared" si="54"/>
        <v/>
      </c>
      <c r="AQ12" t="s">
        <v>1</v>
      </c>
      <c r="AR12" t="str">
        <f t="shared" si="55"/>
        <v>008</v>
      </c>
      <c r="AS12" t="str">
        <f t="shared" si="56"/>
        <v>00</v>
      </c>
      <c r="AT12" t="str">
        <f t="shared" si="33"/>
        <v>00</v>
      </c>
      <c r="AU12" t="str">
        <f t="shared" si="33"/>
        <v>00</v>
      </c>
      <c r="AV12" t="str">
        <f t="shared" si="57"/>
        <v>01</v>
      </c>
      <c r="AW12" t="str">
        <f t="shared" si="58"/>
        <v>03</v>
      </c>
      <c r="AX12" t="str">
        <f t="shared" si="59"/>
        <v>01</v>
      </c>
      <c r="AY12" t="str">
        <f t="shared" si="60"/>
        <v>00</v>
      </c>
      <c r="AZ12" t="str">
        <f t="shared" si="61"/>
        <v>00</v>
      </c>
      <c r="BA12" t="str">
        <f t="shared" si="62"/>
        <v>00</v>
      </c>
      <c r="BB12" t="str">
        <f t="shared" si="63"/>
        <v>00</v>
      </c>
      <c r="BC12" t="str">
        <f t="shared" si="64"/>
        <v>00</v>
      </c>
      <c r="BD12" t="str">
        <f t="shared" si="65"/>
        <v>00</v>
      </c>
      <c r="BE12" t="str">
        <f t="shared" si="66"/>
        <v>00</v>
      </c>
      <c r="BF12" t="str">
        <f t="shared" si="67"/>
        <v>00</v>
      </c>
      <c r="BG12" t="str">
        <f t="shared" si="68"/>
        <v>00</v>
      </c>
      <c r="BH12" t="str">
        <f t="shared" si="69"/>
        <v>00</v>
      </c>
      <c r="BI12" t="str">
        <f t="shared" si="70"/>
        <v>00</v>
      </c>
      <c r="BJ12" t="str">
        <f t="shared" si="71"/>
        <v>00</v>
      </c>
      <c r="BK12" t="str">
        <f t="shared" si="72"/>
        <v>00</v>
      </c>
      <c r="BL12" t="str">
        <f t="shared" si="73"/>
        <v>00</v>
      </c>
      <c r="BM12" t="str">
        <f t="shared" si="74"/>
        <v>00</v>
      </c>
      <c r="BN12" t="str">
        <f t="shared" si="75"/>
        <v>00</v>
      </c>
      <c r="BO12" t="str">
        <f t="shared" si="76"/>
        <v>03</v>
      </c>
      <c r="BP12" t="str">
        <f t="shared" si="77"/>
        <v>0103010000000000000000000000000000000003</v>
      </c>
      <c r="BQ12" t="str">
        <f t="shared" si="80"/>
        <v>Menu03 L03 N008</v>
      </c>
      <c r="BR12" t="str">
        <f t="shared" si="78"/>
        <v>file8</v>
      </c>
      <c r="BS12" t="str">
        <f t="shared" si="79"/>
        <v>008,00,00,00,01,03,01,00,00,00,00,00,00,00,00,00,00,00,00,00,00,00,00,03,0103010000000000000000000000000000000003,Menu03 L03 N008,file8</v>
      </c>
    </row>
    <row r="13" spans="2:73" x14ac:dyDescent="0.25">
      <c r="C13">
        <f t="shared" si="81"/>
        <v>9</v>
      </c>
      <c r="D13">
        <v>1</v>
      </c>
      <c r="E13">
        <v>3</v>
      </c>
      <c r="F13">
        <v>1</v>
      </c>
      <c r="G13">
        <v>1</v>
      </c>
      <c r="W13" t="s">
        <v>1</v>
      </c>
      <c r="X13" t="str">
        <f t="shared" si="36"/>
        <v>|</v>
      </c>
      <c r="Y13" t="str">
        <f t="shared" si="37"/>
        <v>|</v>
      </c>
      <c r="Z13" t="str">
        <f t="shared" si="38"/>
        <v>└</v>
      </c>
      <c r="AA13" t="str">
        <f t="shared" si="39"/>
        <v>--</v>
      </c>
      <c r="AB13" t="str">
        <f t="shared" si="40"/>
        <v/>
      </c>
      <c r="AC13" t="str">
        <f t="shared" si="41"/>
        <v/>
      </c>
      <c r="AD13" t="str">
        <f t="shared" si="42"/>
        <v/>
      </c>
      <c r="AE13" t="str">
        <f t="shared" si="43"/>
        <v/>
      </c>
      <c r="AF13" t="str">
        <f t="shared" si="44"/>
        <v/>
      </c>
      <c r="AG13" t="str">
        <f t="shared" si="45"/>
        <v/>
      </c>
      <c r="AH13" t="str">
        <f t="shared" si="46"/>
        <v/>
      </c>
      <c r="AI13" t="str">
        <f t="shared" si="47"/>
        <v/>
      </c>
      <c r="AJ13" t="str">
        <f t="shared" si="48"/>
        <v/>
      </c>
      <c r="AK13" t="str">
        <f t="shared" si="49"/>
        <v/>
      </c>
      <c r="AL13" t="str">
        <f t="shared" si="50"/>
        <v/>
      </c>
      <c r="AM13" t="str">
        <f t="shared" si="51"/>
        <v/>
      </c>
      <c r="AN13" t="str">
        <f t="shared" si="52"/>
        <v/>
      </c>
      <c r="AO13" t="str">
        <f t="shared" si="53"/>
        <v/>
      </c>
      <c r="AP13" t="str">
        <f t="shared" si="54"/>
        <v/>
      </c>
      <c r="AQ13" t="s">
        <v>1</v>
      </c>
      <c r="AR13" t="str">
        <f t="shared" si="55"/>
        <v>009</v>
      </c>
      <c r="AS13" t="str">
        <f t="shared" si="56"/>
        <v>00</v>
      </c>
      <c r="AT13" t="str">
        <f t="shared" si="33"/>
        <v>00</v>
      </c>
      <c r="AU13" t="str">
        <f t="shared" si="33"/>
        <v>00</v>
      </c>
      <c r="AV13" t="str">
        <f t="shared" si="57"/>
        <v>01</v>
      </c>
      <c r="AW13" t="str">
        <f t="shared" si="58"/>
        <v>03</v>
      </c>
      <c r="AX13" t="str">
        <f t="shared" si="59"/>
        <v>01</v>
      </c>
      <c r="AY13" t="str">
        <f t="shared" si="60"/>
        <v>01</v>
      </c>
      <c r="AZ13" t="str">
        <f t="shared" si="61"/>
        <v>00</v>
      </c>
      <c r="BA13" t="str">
        <f t="shared" si="62"/>
        <v>00</v>
      </c>
      <c r="BB13" t="str">
        <f t="shared" si="63"/>
        <v>00</v>
      </c>
      <c r="BC13" t="str">
        <f t="shared" si="64"/>
        <v>00</v>
      </c>
      <c r="BD13" t="str">
        <f t="shared" si="65"/>
        <v>00</v>
      </c>
      <c r="BE13" t="str">
        <f t="shared" si="66"/>
        <v>00</v>
      </c>
      <c r="BF13" t="str">
        <f t="shared" si="67"/>
        <v>00</v>
      </c>
      <c r="BG13" t="str">
        <f t="shared" si="68"/>
        <v>00</v>
      </c>
      <c r="BH13" t="str">
        <f t="shared" si="69"/>
        <v>00</v>
      </c>
      <c r="BI13" t="str">
        <f t="shared" si="70"/>
        <v>00</v>
      </c>
      <c r="BJ13" t="str">
        <f t="shared" si="71"/>
        <v>00</v>
      </c>
      <c r="BK13" t="str">
        <f t="shared" si="72"/>
        <v>00</v>
      </c>
      <c r="BL13" t="str">
        <f t="shared" si="73"/>
        <v>00</v>
      </c>
      <c r="BM13" t="str">
        <f t="shared" si="74"/>
        <v>00</v>
      </c>
      <c r="BN13" t="str">
        <f t="shared" si="75"/>
        <v>00</v>
      </c>
      <c r="BO13" t="str">
        <f t="shared" si="76"/>
        <v>04</v>
      </c>
      <c r="BP13" t="str">
        <f t="shared" si="77"/>
        <v>0103010100000000000000000000000000000004</v>
      </c>
      <c r="BQ13" t="str">
        <f t="shared" si="80"/>
        <v>Menu03 L04 N009</v>
      </c>
      <c r="BR13" t="str">
        <f t="shared" si="78"/>
        <v>file9</v>
      </c>
      <c r="BS13" t="str">
        <f t="shared" si="79"/>
        <v>009,00,00,00,01,03,01,01,00,00,00,00,00,00,00,00,00,00,00,00,00,00,00,04,0103010100000000000000000000000000000004,Menu03 L04 N009,file9</v>
      </c>
    </row>
    <row r="14" spans="2:73" x14ac:dyDescent="0.25">
      <c r="C14">
        <f t="shared" si="81"/>
        <v>10</v>
      </c>
      <c r="D14">
        <v>1</v>
      </c>
      <c r="E14">
        <v>3</v>
      </c>
      <c r="F14">
        <v>1</v>
      </c>
      <c r="G14">
        <v>2</v>
      </c>
      <c r="W14" t="s">
        <v>1</v>
      </c>
      <c r="X14" t="str">
        <f t="shared" si="36"/>
        <v>|</v>
      </c>
      <c r="Y14" t="str">
        <f t="shared" si="37"/>
        <v>|</v>
      </c>
      <c r="Z14" t="str">
        <f t="shared" si="38"/>
        <v>└</v>
      </c>
      <c r="AA14" t="str">
        <f t="shared" si="39"/>
        <v>--</v>
      </c>
      <c r="AB14" t="str">
        <f t="shared" si="40"/>
        <v/>
      </c>
      <c r="AC14" t="str">
        <f t="shared" si="41"/>
        <v/>
      </c>
      <c r="AD14" t="str">
        <f t="shared" si="42"/>
        <v/>
      </c>
      <c r="AE14" t="str">
        <f t="shared" si="43"/>
        <v/>
      </c>
      <c r="AF14" t="str">
        <f t="shared" si="44"/>
        <v/>
      </c>
      <c r="AG14" t="str">
        <f t="shared" si="45"/>
        <v/>
      </c>
      <c r="AH14" t="str">
        <f t="shared" si="46"/>
        <v/>
      </c>
      <c r="AI14" t="str">
        <f t="shared" si="47"/>
        <v/>
      </c>
      <c r="AJ14" t="str">
        <f t="shared" si="48"/>
        <v/>
      </c>
      <c r="AK14" t="str">
        <f t="shared" si="49"/>
        <v/>
      </c>
      <c r="AL14" t="str">
        <f t="shared" si="50"/>
        <v/>
      </c>
      <c r="AM14" t="str">
        <f t="shared" si="51"/>
        <v/>
      </c>
      <c r="AN14" t="str">
        <f t="shared" si="52"/>
        <v/>
      </c>
      <c r="AO14" t="str">
        <f t="shared" si="53"/>
        <v/>
      </c>
      <c r="AP14" t="str">
        <f t="shared" si="54"/>
        <v/>
      </c>
      <c r="AQ14" t="s">
        <v>1</v>
      </c>
      <c r="AR14" t="str">
        <f t="shared" si="55"/>
        <v>010</v>
      </c>
      <c r="AS14" t="str">
        <f t="shared" si="56"/>
        <v>00</v>
      </c>
      <c r="AT14" t="str">
        <f t="shared" si="33"/>
        <v>00</v>
      </c>
      <c r="AU14" t="str">
        <f t="shared" si="33"/>
        <v>00</v>
      </c>
      <c r="AV14" t="str">
        <f t="shared" si="57"/>
        <v>01</v>
      </c>
      <c r="AW14" t="str">
        <f t="shared" si="58"/>
        <v>03</v>
      </c>
      <c r="AX14" t="str">
        <f t="shared" si="59"/>
        <v>01</v>
      </c>
      <c r="AY14" t="str">
        <f t="shared" si="60"/>
        <v>02</v>
      </c>
      <c r="AZ14" t="str">
        <f t="shared" si="61"/>
        <v>00</v>
      </c>
      <c r="BA14" t="str">
        <f t="shared" si="62"/>
        <v>00</v>
      </c>
      <c r="BB14" t="str">
        <f t="shared" si="63"/>
        <v>00</v>
      </c>
      <c r="BC14" t="str">
        <f t="shared" si="64"/>
        <v>00</v>
      </c>
      <c r="BD14" t="str">
        <f t="shared" si="65"/>
        <v>00</v>
      </c>
      <c r="BE14" t="str">
        <f t="shared" si="66"/>
        <v>00</v>
      </c>
      <c r="BF14" t="str">
        <f t="shared" si="67"/>
        <v>00</v>
      </c>
      <c r="BG14" t="str">
        <f t="shared" si="68"/>
        <v>00</v>
      </c>
      <c r="BH14" t="str">
        <f t="shared" si="69"/>
        <v>00</v>
      </c>
      <c r="BI14" t="str">
        <f t="shared" si="70"/>
        <v>00</v>
      </c>
      <c r="BJ14" t="str">
        <f t="shared" si="71"/>
        <v>00</v>
      </c>
      <c r="BK14" t="str">
        <f t="shared" si="72"/>
        <v>00</v>
      </c>
      <c r="BL14" t="str">
        <f t="shared" si="73"/>
        <v>00</v>
      </c>
      <c r="BM14" t="str">
        <f t="shared" si="74"/>
        <v>00</v>
      </c>
      <c r="BN14" t="str">
        <f t="shared" si="75"/>
        <v>00</v>
      </c>
      <c r="BO14" t="str">
        <f t="shared" si="76"/>
        <v>04</v>
      </c>
      <c r="BP14" t="str">
        <f t="shared" si="77"/>
        <v>0103010200000000000000000000000000000004</v>
      </c>
      <c r="BQ14" t="str">
        <f t="shared" si="80"/>
        <v>Menu03 L04 N010</v>
      </c>
      <c r="BR14" t="str">
        <f t="shared" si="78"/>
        <v>file10</v>
      </c>
      <c r="BS14" t="str">
        <f t="shared" si="79"/>
        <v>010,00,00,00,01,03,01,02,00,00,00,00,00,00,00,00,00,00,00,00,00,00,00,04,0103010200000000000000000000000000000004,Menu03 L04 N010,file10</v>
      </c>
    </row>
    <row r="15" spans="2:73" x14ac:dyDescent="0.25">
      <c r="C15">
        <f t="shared" si="81"/>
        <v>11</v>
      </c>
      <c r="D15">
        <v>1</v>
      </c>
      <c r="E15">
        <v>3</v>
      </c>
      <c r="F15">
        <v>2</v>
      </c>
      <c r="G15">
        <v>0</v>
      </c>
      <c r="W15" t="s">
        <v>1</v>
      </c>
      <c r="X15" t="str">
        <f t="shared" si="36"/>
        <v>|</v>
      </c>
      <c r="Y15" t="str">
        <f t="shared" si="37"/>
        <v>└</v>
      </c>
      <c r="Z15" t="str">
        <f t="shared" si="38"/>
        <v>--</v>
      </c>
      <c r="AA15" t="str">
        <f t="shared" si="39"/>
        <v/>
      </c>
      <c r="AB15" t="str">
        <f t="shared" si="40"/>
        <v/>
      </c>
      <c r="AC15" t="str">
        <f t="shared" si="41"/>
        <v/>
      </c>
      <c r="AD15" t="str">
        <f t="shared" si="42"/>
        <v/>
      </c>
      <c r="AE15" t="str">
        <f t="shared" si="43"/>
        <v/>
      </c>
      <c r="AF15" t="str">
        <f t="shared" si="44"/>
        <v/>
      </c>
      <c r="AG15" t="str">
        <f t="shared" si="45"/>
        <v/>
      </c>
      <c r="AH15" t="str">
        <f t="shared" si="46"/>
        <v/>
      </c>
      <c r="AI15" t="str">
        <f t="shared" si="47"/>
        <v/>
      </c>
      <c r="AJ15" t="str">
        <f t="shared" si="48"/>
        <v/>
      </c>
      <c r="AK15" t="str">
        <f t="shared" si="49"/>
        <v/>
      </c>
      <c r="AL15" t="str">
        <f t="shared" si="50"/>
        <v/>
      </c>
      <c r="AM15" t="str">
        <f t="shared" si="51"/>
        <v/>
      </c>
      <c r="AN15" t="str">
        <f t="shared" si="52"/>
        <v/>
      </c>
      <c r="AO15" t="str">
        <f t="shared" si="53"/>
        <v/>
      </c>
      <c r="AP15" t="str">
        <f t="shared" si="54"/>
        <v/>
      </c>
      <c r="AQ15" t="s">
        <v>1</v>
      </c>
      <c r="AR15" t="str">
        <f t="shared" si="55"/>
        <v>011</v>
      </c>
      <c r="AS15" t="str">
        <f t="shared" si="56"/>
        <v>00</v>
      </c>
      <c r="AT15" t="str">
        <f t="shared" si="33"/>
        <v>00</v>
      </c>
      <c r="AU15" t="str">
        <f t="shared" si="33"/>
        <v>00</v>
      </c>
      <c r="AV15" t="str">
        <f t="shared" si="57"/>
        <v>01</v>
      </c>
      <c r="AW15" t="str">
        <f t="shared" si="58"/>
        <v>03</v>
      </c>
      <c r="AX15" t="str">
        <f t="shared" si="59"/>
        <v>02</v>
      </c>
      <c r="AY15" t="str">
        <f t="shared" si="60"/>
        <v>00</v>
      </c>
      <c r="AZ15" t="str">
        <f t="shared" si="61"/>
        <v>00</v>
      </c>
      <c r="BA15" t="str">
        <f t="shared" si="62"/>
        <v>00</v>
      </c>
      <c r="BB15" t="str">
        <f t="shared" si="63"/>
        <v>00</v>
      </c>
      <c r="BC15" t="str">
        <f t="shared" si="64"/>
        <v>00</v>
      </c>
      <c r="BD15" t="str">
        <f t="shared" si="65"/>
        <v>00</v>
      </c>
      <c r="BE15" t="str">
        <f t="shared" si="66"/>
        <v>00</v>
      </c>
      <c r="BF15" t="str">
        <f t="shared" si="67"/>
        <v>00</v>
      </c>
      <c r="BG15" t="str">
        <f t="shared" si="68"/>
        <v>00</v>
      </c>
      <c r="BH15" t="str">
        <f t="shared" si="69"/>
        <v>00</v>
      </c>
      <c r="BI15" t="str">
        <f t="shared" si="70"/>
        <v>00</v>
      </c>
      <c r="BJ15" t="str">
        <f t="shared" si="71"/>
        <v>00</v>
      </c>
      <c r="BK15" t="str">
        <f t="shared" si="72"/>
        <v>00</v>
      </c>
      <c r="BL15" t="str">
        <f t="shared" si="73"/>
        <v>00</v>
      </c>
      <c r="BM15" t="str">
        <f t="shared" si="74"/>
        <v>00</v>
      </c>
      <c r="BN15" t="str">
        <f t="shared" si="75"/>
        <v>00</v>
      </c>
      <c r="BO15" t="str">
        <f t="shared" si="76"/>
        <v>03</v>
      </c>
      <c r="BP15" t="str">
        <f t="shared" si="77"/>
        <v>0103020000000000000000000000000000000003</v>
      </c>
      <c r="BQ15" t="str">
        <f t="shared" si="80"/>
        <v>Menu03 L03 N011</v>
      </c>
      <c r="BR15" t="str">
        <f t="shared" si="78"/>
        <v>file11</v>
      </c>
      <c r="BS15" t="str">
        <f t="shared" si="79"/>
        <v>011,00,00,00,01,03,02,00,00,00,00,00,00,00,00,00,00,00,00,00,00,00,00,03,0103020000000000000000000000000000000003,Menu03 L03 N011,file11</v>
      </c>
    </row>
    <row r="16" spans="2:73" x14ac:dyDescent="0.25">
      <c r="C16">
        <f t="shared" si="81"/>
        <v>12</v>
      </c>
      <c r="D16">
        <v>1</v>
      </c>
      <c r="E16">
        <v>3</v>
      </c>
      <c r="F16">
        <v>2</v>
      </c>
      <c r="G16">
        <v>1</v>
      </c>
      <c r="W16" t="s">
        <v>1</v>
      </c>
      <c r="X16" t="str">
        <f t="shared" si="36"/>
        <v>|</v>
      </c>
      <c r="Y16" t="str">
        <f t="shared" si="37"/>
        <v>|</v>
      </c>
      <c r="Z16" t="str">
        <f t="shared" si="38"/>
        <v>└</v>
      </c>
      <c r="AA16" t="str">
        <f t="shared" si="39"/>
        <v>--</v>
      </c>
      <c r="AB16" t="str">
        <f t="shared" si="40"/>
        <v/>
      </c>
      <c r="AC16" t="str">
        <f t="shared" si="41"/>
        <v/>
      </c>
      <c r="AD16" t="str">
        <f t="shared" si="42"/>
        <v/>
      </c>
      <c r="AE16" t="str">
        <f t="shared" si="43"/>
        <v/>
      </c>
      <c r="AF16" t="str">
        <f t="shared" si="44"/>
        <v/>
      </c>
      <c r="AG16" t="str">
        <f t="shared" si="45"/>
        <v/>
      </c>
      <c r="AH16" t="str">
        <f t="shared" si="46"/>
        <v/>
      </c>
      <c r="AI16" t="str">
        <f t="shared" si="47"/>
        <v/>
      </c>
      <c r="AJ16" t="str">
        <f t="shared" si="48"/>
        <v/>
      </c>
      <c r="AK16" t="str">
        <f t="shared" si="49"/>
        <v/>
      </c>
      <c r="AL16" t="str">
        <f t="shared" si="50"/>
        <v/>
      </c>
      <c r="AM16" t="str">
        <f t="shared" si="51"/>
        <v/>
      </c>
      <c r="AN16" t="str">
        <f t="shared" si="52"/>
        <v/>
      </c>
      <c r="AO16" t="str">
        <f t="shared" si="53"/>
        <v/>
      </c>
      <c r="AP16" t="str">
        <f t="shared" si="54"/>
        <v/>
      </c>
      <c r="AQ16" t="s">
        <v>1</v>
      </c>
      <c r="AR16" t="str">
        <f t="shared" si="55"/>
        <v>012</v>
      </c>
      <c r="AS16" t="str">
        <f t="shared" si="56"/>
        <v>00</v>
      </c>
      <c r="AT16" t="str">
        <f t="shared" si="33"/>
        <v>00</v>
      </c>
      <c r="AU16" t="str">
        <f t="shared" si="33"/>
        <v>00</v>
      </c>
      <c r="AV16" t="str">
        <f t="shared" si="57"/>
        <v>01</v>
      </c>
      <c r="AW16" t="str">
        <f t="shared" si="58"/>
        <v>03</v>
      </c>
      <c r="AX16" t="str">
        <f t="shared" si="59"/>
        <v>02</v>
      </c>
      <c r="AY16" t="str">
        <f t="shared" si="60"/>
        <v>01</v>
      </c>
      <c r="AZ16" t="str">
        <f t="shared" si="61"/>
        <v>00</v>
      </c>
      <c r="BA16" t="str">
        <f t="shared" si="62"/>
        <v>00</v>
      </c>
      <c r="BB16" t="str">
        <f t="shared" si="63"/>
        <v>00</v>
      </c>
      <c r="BC16" t="str">
        <f t="shared" si="64"/>
        <v>00</v>
      </c>
      <c r="BD16" t="str">
        <f t="shared" si="65"/>
        <v>00</v>
      </c>
      <c r="BE16" t="str">
        <f t="shared" si="66"/>
        <v>00</v>
      </c>
      <c r="BF16" t="str">
        <f t="shared" si="67"/>
        <v>00</v>
      </c>
      <c r="BG16" t="str">
        <f t="shared" si="68"/>
        <v>00</v>
      </c>
      <c r="BH16" t="str">
        <f t="shared" si="69"/>
        <v>00</v>
      </c>
      <c r="BI16" t="str">
        <f t="shared" si="70"/>
        <v>00</v>
      </c>
      <c r="BJ16" t="str">
        <f t="shared" si="71"/>
        <v>00</v>
      </c>
      <c r="BK16" t="str">
        <f t="shared" si="72"/>
        <v>00</v>
      </c>
      <c r="BL16" t="str">
        <f t="shared" si="73"/>
        <v>00</v>
      </c>
      <c r="BM16" t="str">
        <f t="shared" si="74"/>
        <v>00</v>
      </c>
      <c r="BN16" t="str">
        <f t="shared" si="75"/>
        <v>00</v>
      </c>
      <c r="BO16" t="str">
        <f t="shared" si="76"/>
        <v>04</v>
      </c>
      <c r="BP16" t="str">
        <f t="shared" si="77"/>
        <v>0103020100000000000000000000000000000004</v>
      </c>
      <c r="BQ16" t="str">
        <f t="shared" si="80"/>
        <v>Menu03 L04 N012</v>
      </c>
      <c r="BR16" t="str">
        <f t="shared" si="78"/>
        <v>file12</v>
      </c>
      <c r="BS16" t="str">
        <f t="shared" si="79"/>
        <v>012,00,00,00,01,03,02,01,00,00,00,00,00,00,00,00,00,00,00,00,00,00,00,04,0103020100000000000000000000000000000004,Menu03 L04 N012,file12</v>
      </c>
    </row>
    <row r="17" spans="3:71" x14ac:dyDescent="0.25">
      <c r="C17">
        <f t="shared" si="81"/>
        <v>13</v>
      </c>
      <c r="D17">
        <v>1</v>
      </c>
      <c r="E17">
        <v>3</v>
      </c>
      <c r="F17">
        <v>2</v>
      </c>
      <c r="G17">
        <v>2</v>
      </c>
      <c r="W17" t="s">
        <v>1</v>
      </c>
      <c r="X17" t="str">
        <f t="shared" si="36"/>
        <v>|</v>
      </c>
      <c r="Y17" t="str">
        <f t="shared" si="37"/>
        <v>|</v>
      </c>
      <c r="Z17" t="str">
        <f t="shared" si="38"/>
        <v>└</v>
      </c>
      <c r="AA17" t="str">
        <f t="shared" si="39"/>
        <v>--</v>
      </c>
      <c r="AB17" t="str">
        <f t="shared" si="40"/>
        <v/>
      </c>
      <c r="AC17" t="str">
        <f t="shared" si="41"/>
        <v/>
      </c>
      <c r="AD17" t="str">
        <f t="shared" si="42"/>
        <v/>
      </c>
      <c r="AE17" t="str">
        <f t="shared" si="43"/>
        <v/>
      </c>
      <c r="AF17" t="str">
        <f t="shared" si="44"/>
        <v/>
      </c>
      <c r="AG17" t="str">
        <f t="shared" si="45"/>
        <v/>
      </c>
      <c r="AH17" t="str">
        <f t="shared" si="46"/>
        <v/>
      </c>
      <c r="AI17" t="str">
        <f t="shared" si="47"/>
        <v/>
      </c>
      <c r="AJ17" t="str">
        <f t="shared" si="48"/>
        <v/>
      </c>
      <c r="AK17" t="str">
        <f t="shared" si="49"/>
        <v/>
      </c>
      <c r="AL17" t="str">
        <f t="shared" si="50"/>
        <v/>
      </c>
      <c r="AM17" t="str">
        <f t="shared" si="51"/>
        <v/>
      </c>
      <c r="AN17" t="str">
        <f t="shared" si="52"/>
        <v/>
      </c>
      <c r="AO17" t="str">
        <f t="shared" si="53"/>
        <v/>
      </c>
      <c r="AP17" t="str">
        <f t="shared" si="54"/>
        <v/>
      </c>
      <c r="AQ17" t="s">
        <v>1</v>
      </c>
      <c r="AR17" t="str">
        <f t="shared" si="55"/>
        <v>013</v>
      </c>
      <c r="AS17" t="str">
        <f t="shared" si="56"/>
        <v>00</v>
      </c>
      <c r="AT17" t="str">
        <f t="shared" si="33"/>
        <v>00</v>
      </c>
      <c r="AU17" t="str">
        <f t="shared" si="33"/>
        <v>00</v>
      </c>
      <c r="AV17" t="str">
        <f t="shared" si="57"/>
        <v>01</v>
      </c>
      <c r="AW17" t="str">
        <f t="shared" si="58"/>
        <v>03</v>
      </c>
      <c r="AX17" t="str">
        <f t="shared" si="59"/>
        <v>02</v>
      </c>
      <c r="AY17" t="str">
        <f t="shared" si="60"/>
        <v>02</v>
      </c>
      <c r="AZ17" t="str">
        <f t="shared" si="61"/>
        <v>00</v>
      </c>
      <c r="BA17" t="str">
        <f t="shared" si="62"/>
        <v>00</v>
      </c>
      <c r="BB17" t="str">
        <f t="shared" si="63"/>
        <v>00</v>
      </c>
      <c r="BC17" t="str">
        <f t="shared" si="64"/>
        <v>00</v>
      </c>
      <c r="BD17" t="str">
        <f t="shared" si="65"/>
        <v>00</v>
      </c>
      <c r="BE17" t="str">
        <f t="shared" si="66"/>
        <v>00</v>
      </c>
      <c r="BF17" t="str">
        <f t="shared" si="67"/>
        <v>00</v>
      </c>
      <c r="BG17" t="str">
        <f t="shared" si="68"/>
        <v>00</v>
      </c>
      <c r="BH17" t="str">
        <f t="shared" si="69"/>
        <v>00</v>
      </c>
      <c r="BI17" t="str">
        <f t="shared" si="70"/>
        <v>00</v>
      </c>
      <c r="BJ17" t="str">
        <f t="shared" si="71"/>
        <v>00</v>
      </c>
      <c r="BK17" t="str">
        <f t="shared" si="72"/>
        <v>00</v>
      </c>
      <c r="BL17" t="str">
        <f t="shared" si="73"/>
        <v>00</v>
      </c>
      <c r="BM17" t="str">
        <f t="shared" si="74"/>
        <v>00</v>
      </c>
      <c r="BN17" t="str">
        <f t="shared" si="75"/>
        <v>00</v>
      </c>
      <c r="BO17" t="str">
        <f t="shared" si="76"/>
        <v>04</v>
      </c>
      <c r="BP17" t="str">
        <f t="shared" si="77"/>
        <v>0103020200000000000000000000000000000004</v>
      </c>
      <c r="BQ17" t="str">
        <f t="shared" si="80"/>
        <v>Menu03 L04 N013</v>
      </c>
      <c r="BR17" t="str">
        <f t="shared" si="78"/>
        <v>file13</v>
      </c>
      <c r="BS17" t="str">
        <f t="shared" si="79"/>
        <v>013,00,00,00,01,03,02,02,00,00,00,00,00,00,00,00,00,00,00,00,00,00,00,04,0103020200000000000000000000000000000004,Menu03 L04 N013,file13</v>
      </c>
    </row>
    <row r="18" spans="3:71" x14ac:dyDescent="0.25">
      <c r="C18">
        <f t="shared" si="81"/>
        <v>14</v>
      </c>
      <c r="D18">
        <v>1</v>
      </c>
      <c r="E18">
        <v>3</v>
      </c>
      <c r="F18">
        <v>2</v>
      </c>
      <c r="G18">
        <v>3</v>
      </c>
      <c r="W18" t="s">
        <v>1</v>
      </c>
      <c r="X18" t="str">
        <f t="shared" si="36"/>
        <v>|</v>
      </c>
      <c r="Y18" t="str">
        <f t="shared" si="37"/>
        <v>|</v>
      </c>
      <c r="Z18" t="str">
        <f t="shared" si="38"/>
        <v>└</v>
      </c>
      <c r="AA18" t="str">
        <f t="shared" si="39"/>
        <v>--</v>
      </c>
      <c r="AB18" t="str">
        <f t="shared" si="40"/>
        <v/>
      </c>
      <c r="AC18" t="str">
        <f t="shared" si="41"/>
        <v/>
      </c>
      <c r="AD18" t="str">
        <f t="shared" si="42"/>
        <v/>
      </c>
      <c r="AE18" t="str">
        <f t="shared" si="43"/>
        <v/>
      </c>
      <c r="AF18" t="str">
        <f t="shared" si="44"/>
        <v/>
      </c>
      <c r="AG18" t="str">
        <f t="shared" si="45"/>
        <v/>
      </c>
      <c r="AH18" t="str">
        <f t="shared" si="46"/>
        <v/>
      </c>
      <c r="AI18" t="str">
        <f t="shared" si="47"/>
        <v/>
      </c>
      <c r="AJ18" t="str">
        <f t="shared" si="48"/>
        <v/>
      </c>
      <c r="AK18" t="str">
        <f t="shared" si="49"/>
        <v/>
      </c>
      <c r="AL18" t="str">
        <f t="shared" si="50"/>
        <v/>
      </c>
      <c r="AM18" t="str">
        <f t="shared" si="51"/>
        <v/>
      </c>
      <c r="AN18" t="str">
        <f t="shared" si="52"/>
        <v/>
      </c>
      <c r="AO18" t="str">
        <f t="shared" si="53"/>
        <v/>
      </c>
      <c r="AP18" t="str">
        <f t="shared" si="54"/>
        <v/>
      </c>
      <c r="AQ18" t="s">
        <v>1</v>
      </c>
      <c r="AR18" t="str">
        <f t="shared" si="55"/>
        <v>014</v>
      </c>
      <c r="AS18" t="str">
        <f t="shared" si="56"/>
        <v>00</v>
      </c>
      <c r="AT18" t="str">
        <f t="shared" si="33"/>
        <v>00</v>
      </c>
      <c r="AU18" t="str">
        <f t="shared" si="33"/>
        <v>00</v>
      </c>
      <c r="AV18" t="str">
        <f t="shared" si="57"/>
        <v>01</v>
      </c>
      <c r="AW18" t="str">
        <f t="shared" si="58"/>
        <v>03</v>
      </c>
      <c r="AX18" t="str">
        <f t="shared" si="59"/>
        <v>02</v>
      </c>
      <c r="AY18" t="str">
        <f t="shared" si="60"/>
        <v>03</v>
      </c>
      <c r="AZ18" t="str">
        <f t="shared" si="61"/>
        <v>00</v>
      </c>
      <c r="BA18" t="str">
        <f t="shared" si="62"/>
        <v>00</v>
      </c>
      <c r="BB18" t="str">
        <f t="shared" si="63"/>
        <v>00</v>
      </c>
      <c r="BC18" t="str">
        <f t="shared" si="64"/>
        <v>00</v>
      </c>
      <c r="BD18" t="str">
        <f t="shared" si="65"/>
        <v>00</v>
      </c>
      <c r="BE18" t="str">
        <f t="shared" si="66"/>
        <v>00</v>
      </c>
      <c r="BF18" t="str">
        <f t="shared" si="67"/>
        <v>00</v>
      </c>
      <c r="BG18" t="str">
        <f t="shared" si="68"/>
        <v>00</v>
      </c>
      <c r="BH18" t="str">
        <f t="shared" si="69"/>
        <v>00</v>
      </c>
      <c r="BI18" t="str">
        <f t="shared" si="70"/>
        <v>00</v>
      </c>
      <c r="BJ18" t="str">
        <f t="shared" si="71"/>
        <v>00</v>
      </c>
      <c r="BK18" t="str">
        <f t="shared" si="72"/>
        <v>00</v>
      </c>
      <c r="BL18" t="str">
        <f t="shared" si="73"/>
        <v>00</v>
      </c>
      <c r="BM18" t="str">
        <f t="shared" si="74"/>
        <v>00</v>
      </c>
      <c r="BN18" t="str">
        <f t="shared" si="75"/>
        <v>00</v>
      </c>
      <c r="BO18" t="str">
        <f t="shared" si="76"/>
        <v>04</v>
      </c>
      <c r="BP18" t="str">
        <f t="shared" si="77"/>
        <v>0103020300000000000000000000000000000004</v>
      </c>
      <c r="BQ18" t="str">
        <f t="shared" si="80"/>
        <v>Menu03 L04 N014</v>
      </c>
      <c r="BR18" t="str">
        <f t="shared" si="78"/>
        <v>file14</v>
      </c>
      <c r="BS18" t="str">
        <f t="shared" si="79"/>
        <v>014,00,00,00,01,03,02,03,00,00,00,00,00,00,00,00,00,00,00,00,00,00,00,04,0103020300000000000000000000000000000004,Menu03 L04 N014,file14</v>
      </c>
    </row>
    <row r="19" spans="3:71" x14ac:dyDescent="0.25">
      <c r="C19">
        <f t="shared" si="81"/>
        <v>15</v>
      </c>
      <c r="D19">
        <v>1</v>
      </c>
      <c r="E19">
        <v>3</v>
      </c>
      <c r="F19">
        <v>3</v>
      </c>
      <c r="G19">
        <v>0</v>
      </c>
      <c r="W19" t="s">
        <v>1</v>
      </c>
      <c r="X19" t="str">
        <f t="shared" si="36"/>
        <v>|</v>
      </c>
      <c r="Y19" t="str">
        <f t="shared" si="37"/>
        <v>└</v>
      </c>
      <c r="Z19" t="str">
        <f t="shared" si="38"/>
        <v>--</v>
      </c>
      <c r="AA19" t="str">
        <f t="shared" si="39"/>
        <v/>
      </c>
      <c r="AB19" t="str">
        <f t="shared" si="40"/>
        <v/>
      </c>
      <c r="AC19" t="str">
        <f t="shared" si="41"/>
        <v/>
      </c>
      <c r="AD19" t="str">
        <f t="shared" si="42"/>
        <v/>
      </c>
      <c r="AE19" t="str">
        <f t="shared" si="43"/>
        <v/>
      </c>
      <c r="AF19" t="str">
        <f t="shared" si="44"/>
        <v/>
      </c>
      <c r="AG19" t="str">
        <f t="shared" si="45"/>
        <v/>
      </c>
      <c r="AH19" t="str">
        <f t="shared" si="46"/>
        <v/>
      </c>
      <c r="AI19" t="str">
        <f t="shared" si="47"/>
        <v/>
      </c>
      <c r="AJ19" t="str">
        <f t="shared" si="48"/>
        <v/>
      </c>
      <c r="AK19" t="str">
        <f t="shared" si="49"/>
        <v/>
      </c>
      <c r="AL19" t="str">
        <f t="shared" si="50"/>
        <v/>
      </c>
      <c r="AM19" t="str">
        <f t="shared" si="51"/>
        <v/>
      </c>
      <c r="AN19" t="str">
        <f t="shared" si="52"/>
        <v/>
      </c>
      <c r="AO19" t="str">
        <f t="shared" si="53"/>
        <v/>
      </c>
      <c r="AP19" t="str">
        <f t="shared" si="54"/>
        <v/>
      </c>
      <c r="AQ19" t="s">
        <v>1</v>
      </c>
      <c r="AR19" t="str">
        <f t="shared" si="55"/>
        <v>015</v>
      </c>
      <c r="AS19" t="str">
        <f t="shared" si="56"/>
        <v>00</v>
      </c>
      <c r="AT19" t="str">
        <f t="shared" si="33"/>
        <v>00</v>
      </c>
      <c r="AU19" t="str">
        <f t="shared" si="33"/>
        <v>00</v>
      </c>
      <c r="AV19" t="str">
        <f t="shared" si="57"/>
        <v>01</v>
      </c>
      <c r="AW19" t="str">
        <f t="shared" si="58"/>
        <v>03</v>
      </c>
      <c r="AX19" t="str">
        <f t="shared" si="59"/>
        <v>03</v>
      </c>
      <c r="AY19" t="str">
        <f t="shared" si="60"/>
        <v>00</v>
      </c>
      <c r="AZ19" t="str">
        <f t="shared" si="61"/>
        <v>00</v>
      </c>
      <c r="BA19" t="str">
        <f t="shared" si="62"/>
        <v>00</v>
      </c>
      <c r="BB19" t="str">
        <f t="shared" si="63"/>
        <v>00</v>
      </c>
      <c r="BC19" t="str">
        <f t="shared" si="64"/>
        <v>00</v>
      </c>
      <c r="BD19" t="str">
        <f t="shared" si="65"/>
        <v>00</v>
      </c>
      <c r="BE19" t="str">
        <f t="shared" si="66"/>
        <v>00</v>
      </c>
      <c r="BF19" t="str">
        <f t="shared" si="67"/>
        <v>00</v>
      </c>
      <c r="BG19" t="str">
        <f t="shared" si="68"/>
        <v>00</v>
      </c>
      <c r="BH19" t="str">
        <f t="shared" si="69"/>
        <v>00</v>
      </c>
      <c r="BI19" t="str">
        <f t="shared" si="70"/>
        <v>00</v>
      </c>
      <c r="BJ19" t="str">
        <f t="shared" si="71"/>
        <v>00</v>
      </c>
      <c r="BK19" t="str">
        <f t="shared" si="72"/>
        <v>00</v>
      </c>
      <c r="BL19" t="str">
        <f t="shared" si="73"/>
        <v>00</v>
      </c>
      <c r="BM19" t="str">
        <f t="shared" si="74"/>
        <v>00</v>
      </c>
      <c r="BN19" t="str">
        <f t="shared" si="75"/>
        <v>00</v>
      </c>
      <c r="BO19" t="str">
        <f t="shared" si="76"/>
        <v>03</v>
      </c>
      <c r="BP19" t="str">
        <f t="shared" si="77"/>
        <v>0103030000000000000000000000000000000003</v>
      </c>
      <c r="BQ19" t="str">
        <f t="shared" si="80"/>
        <v>Menu03 L03 N015</v>
      </c>
      <c r="BR19" t="str">
        <f t="shared" si="78"/>
        <v>file15</v>
      </c>
      <c r="BS19" t="str">
        <f t="shared" si="79"/>
        <v>015,00,00,00,01,03,03,00,00,00,00,00,00,00,00,00,00,00,00,00,00,00,00,03,0103030000000000000000000000000000000003,Menu03 L03 N015,file15</v>
      </c>
    </row>
    <row r="20" spans="3:71" x14ac:dyDescent="0.25">
      <c r="C20">
        <f t="shared" si="81"/>
        <v>16</v>
      </c>
      <c r="D20">
        <v>1</v>
      </c>
      <c r="E20">
        <v>3</v>
      </c>
      <c r="F20">
        <v>3</v>
      </c>
      <c r="G20">
        <v>1</v>
      </c>
      <c r="W20" t="s">
        <v>1</v>
      </c>
      <c r="X20" t="str">
        <f t="shared" si="36"/>
        <v>|</v>
      </c>
      <c r="Y20" t="str">
        <f t="shared" si="37"/>
        <v>|</v>
      </c>
      <c r="Z20" t="str">
        <f t="shared" si="38"/>
        <v>└</v>
      </c>
      <c r="AA20" t="str">
        <f t="shared" si="39"/>
        <v>--</v>
      </c>
      <c r="AB20" t="str">
        <f t="shared" si="40"/>
        <v/>
      </c>
      <c r="AC20" t="str">
        <f t="shared" si="41"/>
        <v/>
      </c>
      <c r="AD20" t="str">
        <f t="shared" si="42"/>
        <v/>
      </c>
      <c r="AE20" t="str">
        <f t="shared" si="43"/>
        <v/>
      </c>
      <c r="AF20" t="str">
        <f t="shared" si="44"/>
        <v/>
      </c>
      <c r="AG20" t="str">
        <f t="shared" si="45"/>
        <v/>
      </c>
      <c r="AH20" t="str">
        <f t="shared" si="46"/>
        <v/>
      </c>
      <c r="AI20" t="str">
        <f t="shared" si="47"/>
        <v/>
      </c>
      <c r="AJ20" t="str">
        <f t="shared" si="48"/>
        <v/>
      </c>
      <c r="AK20" t="str">
        <f t="shared" si="49"/>
        <v/>
      </c>
      <c r="AL20" t="str">
        <f t="shared" si="50"/>
        <v/>
      </c>
      <c r="AM20" t="str">
        <f t="shared" si="51"/>
        <v/>
      </c>
      <c r="AN20" t="str">
        <f t="shared" si="52"/>
        <v/>
      </c>
      <c r="AO20" t="str">
        <f t="shared" si="53"/>
        <v/>
      </c>
      <c r="AP20" t="str">
        <f t="shared" si="54"/>
        <v/>
      </c>
      <c r="AQ20" t="s">
        <v>1</v>
      </c>
      <c r="AR20" t="str">
        <f t="shared" si="55"/>
        <v>016</v>
      </c>
      <c r="AS20" t="str">
        <f t="shared" si="56"/>
        <v>00</v>
      </c>
      <c r="AT20" t="str">
        <f t="shared" si="33"/>
        <v>00</v>
      </c>
      <c r="AU20" t="str">
        <f t="shared" si="33"/>
        <v>00</v>
      </c>
      <c r="AV20" t="str">
        <f t="shared" si="57"/>
        <v>01</v>
      </c>
      <c r="AW20" t="str">
        <f t="shared" si="58"/>
        <v>03</v>
      </c>
      <c r="AX20" t="str">
        <f t="shared" si="59"/>
        <v>03</v>
      </c>
      <c r="AY20" t="str">
        <f t="shared" si="60"/>
        <v>01</v>
      </c>
      <c r="AZ20" t="str">
        <f t="shared" si="61"/>
        <v>00</v>
      </c>
      <c r="BA20" t="str">
        <f t="shared" si="62"/>
        <v>00</v>
      </c>
      <c r="BB20" t="str">
        <f t="shared" si="63"/>
        <v>00</v>
      </c>
      <c r="BC20" t="str">
        <f t="shared" si="64"/>
        <v>00</v>
      </c>
      <c r="BD20" t="str">
        <f t="shared" si="65"/>
        <v>00</v>
      </c>
      <c r="BE20" t="str">
        <f t="shared" si="66"/>
        <v>00</v>
      </c>
      <c r="BF20" t="str">
        <f t="shared" si="67"/>
        <v>00</v>
      </c>
      <c r="BG20" t="str">
        <f t="shared" si="68"/>
        <v>00</v>
      </c>
      <c r="BH20" t="str">
        <f t="shared" si="69"/>
        <v>00</v>
      </c>
      <c r="BI20" t="str">
        <f t="shared" si="70"/>
        <v>00</v>
      </c>
      <c r="BJ20" t="str">
        <f t="shared" si="71"/>
        <v>00</v>
      </c>
      <c r="BK20" t="str">
        <f t="shared" si="72"/>
        <v>00</v>
      </c>
      <c r="BL20" t="str">
        <f t="shared" si="73"/>
        <v>00</v>
      </c>
      <c r="BM20" t="str">
        <f t="shared" si="74"/>
        <v>00</v>
      </c>
      <c r="BN20" t="str">
        <f t="shared" si="75"/>
        <v>00</v>
      </c>
      <c r="BO20" t="str">
        <f t="shared" si="76"/>
        <v>04</v>
      </c>
      <c r="BP20" t="str">
        <f t="shared" si="77"/>
        <v>0103030100000000000000000000000000000004</v>
      </c>
      <c r="BQ20" t="str">
        <f t="shared" si="80"/>
        <v>Menu03 L04 N016</v>
      </c>
      <c r="BR20" t="str">
        <f t="shared" si="78"/>
        <v>file16</v>
      </c>
      <c r="BS20" t="str">
        <f t="shared" si="79"/>
        <v>016,00,00,00,01,03,03,01,00,00,00,00,00,00,00,00,00,00,00,00,00,00,00,04,0103030100000000000000000000000000000004,Menu03 L04 N016,file16</v>
      </c>
    </row>
    <row r="21" spans="3:71" x14ac:dyDescent="0.25">
      <c r="C21">
        <f t="shared" si="81"/>
        <v>17</v>
      </c>
      <c r="D21">
        <v>1</v>
      </c>
      <c r="E21">
        <v>3</v>
      </c>
      <c r="F21">
        <v>3</v>
      </c>
      <c r="G21">
        <v>2</v>
      </c>
      <c r="W21" t="s">
        <v>1</v>
      </c>
      <c r="X21" t="str">
        <f t="shared" si="36"/>
        <v>|</v>
      </c>
      <c r="Y21" t="str">
        <f t="shared" si="37"/>
        <v>|</v>
      </c>
      <c r="Z21" t="str">
        <f t="shared" si="38"/>
        <v>└</v>
      </c>
      <c r="AA21" t="str">
        <f t="shared" si="39"/>
        <v>--</v>
      </c>
      <c r="AB21" t="str">
        <f t="shared" si="40"/>
        <v/>
      </c>
      <c r="AC21" t="str">
        <f t="shared" si="41"/>
        <v/>
      </c>
      <c r="AD21" t="str">
        <f t="shared" si="42"/>
        <v/>
      </c>
      <c r="AE21" t="str">
        <f t="shared" si="43"/>
        <v/>
      </c>
      <c r="AF21" t="str">
        <f t="shared" si="44"/>
        <v/>
      </c>
      <c r="AG21" t="str">
        <f t="shared" si="45"/>
        <v/>
      </c>
      <c r="AH21" t="str">
        <f t="shared" si="46"/>
        <v/>
      </c>
      <c r="AI21" t="str">
        <f t="shared" si="47"/>
        <v/>
      </c>
      <c r="AJ21" t="str">
        <f t="shared" si="48"/>
        <v/>
      </c>
      <c r="AK21" t="str">
        <f t="shared" si="49"/>
        <v/>
      </c>
      <c r="AL21" t="str">
        <f t="shared" si="50"/>
        <v/>
      </c>
      <c r="AM21" t="str">
        <f t="shared" si="51"/>
        <v/>
      </c>
      <c r="AN21" t="str">
        <f t="shared" si="52"/>
        <v/>
      </c>
      <c r="AO21" t="str">
        <f t="shared" si="53"/>
        <v/>
      </c>
      <c r="AP21" t="str">
        <f t="shared" si="54"/>
        <v/>
      </c>
      <c r="AQ21" t="s">
        <v>1</v>
      </c>
      <c r="AR21" t="str">
        <f t="shared" si="55"/>
        <v>017</v>
      </c>
      <c r="AS21" t="str">
        <f t="shared" si="56"/>
        <v>00</v>
      </c>
      <c r="AT21" t="str">
        <f t="shared" si="56"/>
        <v>00</v>
      </c>
      <c r="AU21" t="str">
        <f t="shared" si="56"/>
        <v>00</v>
      </c>
      <c r="AV21" t="str">
        <f t="shared" si="57"/>
        <v>01</v>
      </c>
      <c r="AW21" t="str">
        <f t="shared" si="58"/>
        <v>03</v>
      </c>
      <c r="AX21" t="str">
        <f t="shared" si="59"/>
        <v>03</v>
      </c>
      <c r="AY21" t="str">
        <f t="shared" si="60"/>
        <v>02</v>
      </c>
      <c r="AZ21" t="str">
        <f t="shared" si="61"/>
        <v>00</v>
      </c>
      <c r="BA21" t="str">
        <f t="shared" si="62"/>
        <v>00</v>
      </c>
      <c r="BB21" t="str">
        <f t="shared" si="63"/>
        <v>00</v>
      </c>
      <c r="BC21" t="str">
        <f t="shared" si="64"/>
        <v>00</v>
      </c>
      <c r="BD21" t="str">
        <f t="shared" si="65"/>
        <v>00</v>
      </c>
      <c r="BE21" t="str">
        <f t="shared" si="66"/>
        <v>00</v>
      </c>
      <c r="BF21" t="str">
        <f t="shared" si="67"/>
        <v>00</v>
      </c>
      <c r="BG21" t="str">
        <f t="shared" si="68"/>
        <v>00</v>
      </c>
      <c r="BH21" t="str">
        <f t="shared" si="69"/>
        <v>00</v>
      </c>
      <c r="BI21" t="str">
        <f t="shared" si="70"/>
        <v>00</v>
      </c>
      <c r="BJ21" t="str">
        <f t="shared" si="71"/>
        <v>00</v>
      </c>
      <c r="BK21" t="str">
        <f t="shared" si="72"/>
        <v>00</v>
      </c>
      <c r="BL21" t="str">
        <f t="shared" si="73"/>
        <v>00</v>
      </c>
      <c r="BM21" t="str">
        <f t="shared" si="74"/>
        <v>00</v>
      </c>
      <c r="BN21" t="str">
        <f t="shared" si="75"/>
        <v>00</v>
      </c>
      <c r="BO21" t="str">
        <f t="shared" si="76"/>
        <v>04</v>
      </c>
      <c r="BP21" t="str">
        <f t="shared" si="77"/>
        <v>0103030200000000000000000000000000000004</v>
      </c>
      <c r="BQ21" t="str">
        <f t="shared" si="80"/>
        <v>Menu03 L04 N017</v>
      </c>
      <c r="BR21" t="str">
        <f t="shared" si="78"/>
        <v>file17</v>
      </c>
      <c r="BS21" t="str">
        <f t="shared" si="79"/>
        <v>017,00,00,00,01,03,03,02,00,00,00,00,00,00,00,00,00,00,00,00,00,00,00,04,0103030200000000000000000000000000000004,Menu03 L04 N017,file17</v>
      </c>
    </row>
    <row r="22" spans="3:71" x14ac:dyDescent="0.25">
      <c r="C22">
        <f t="shared" si="81"/>
        <v>18</v>
      </c>
      <c r="D22">
        <v>1</v>
      </c>
      <c r="E22">
        <v>3</v>
      </c>
      <c r="F22">
        <v>3</v>
      </c>
      <c r="G22">
        <v>3</v>
      </c>
      <c r="W22" t="s">
        <v>1</v>
      </c>
      <c r="X22" t="str">
        <f t="shared" ref="X22:X85" si="82">IF(D22=0,"",IF(D22&lt;&gt;D21,"--",IF(F22=0,"└","|")))</f>
        <v>|</v>
      </c>
      <c r="Y22" t="str">
        <f t="shared" ref="Y22:Y85" si="83">IF(E22=0,"",IF(E22&lt;&gt;E21,"--",IF(G22=0,"└","|")))</f>
        <v>|</v>
      </c>
      <c r="Z22" t="str">
        <f t="shared" ref="Z22:Z85" si="84">IF(F22=0,"",IF(F22&lt;&gt;F21,"--",IF(H22=0,"└","|")))</f>
        <v>└</v>
      </c>
      <c r="AA22" t="str">
        <f t="shared" ref="AA22:AA85" si="85">IF(G22=0,"",IF(G22&lt;&gt;G21,"--",IF(I22=0,"└","|")))</f>
        <v>--</v>
      </c>
      <c r="AB22" t="str">
        <f t="shared" ref="AB22:AB85" si="86">IF(H22=0,"",IF(H22&lt;&gt;H21,"--",IF(J22=0,"└","|")))</f>
        <v/>
      </c>
      <c r="AC22" t="str">
        <f t="shared" ref="AC22:AC85" si="87">IF(I22=0,"",IF(I22&lt;&gt;I21,"--",IF(K22=0,"└","|")))</f>
        <v/>
      </c>
      <c r="AD22" t="str">
        <f t="shared" ref="AD22:AD85" si="88">IF(J22=0,"",IF(J22&lt;&gt;J21,"--",IF(L22=0,"└","|")))</f>
        <v/>
      </c>
      <c r="AE22" t="str">
        <f t="shared" ref="AE22:AE85" si="89">IF(K22=0,"",IF(K22&lt;&gt;K21,"--",IF(M22=0,"└","|")))</f>
        <v/>
      </c>
      <c r="AF22" t="str">
        <f t="shared" ref="AF22:AF85" si="90">IF(L22=0,"",IF(L22&lt;&gt;L21,"--",IF(N22=0,"└","|")))</f>
        <v/>
      </c>
      <c r="AG22" t="str">
        <f t="shared" ref="AG22:AG85" si="91">IF(M22=0,"",IF(M22&lt;&gt;M21,"--",IF(O22=0,"└","|")))</f>
        <v/>
      </c>
      <c r="AH22" t="str">
        <f t="shared" ref="AH22:AH85" si="92">IF(N22=0,"",IF(N22&lt;&gt;N21,"--",IF(P22=0,"└","|")))</f>
        <v/>
      </c>
      <c r="AI22" t="str">
        <f t="shared" ref="AI22:AI85" si="93">IF(O22=0,"",IF(O22&lt;&gt;O21,"--",IF(Q22=0,"└","|")))</f>
        <v/>
      </c>
      <c r="AJ22" t="str">
        <f t="shared" ref="AJ22:AJ85" si="94">IF(P22=0,"",IF(P22&lt;&gt;P21,"--",IF(R22=0,"└","|")))</f>
        <v/>
      </c>
      <c r="AK22" t="str">
        <f t="shared" ref="AK22:AK85" si="95">IF(Q22=0,"",IF(Q22&lt;&gt;Q21,"--",IF(S22=0,"└","|")))</f>
        <v/>
      </c>
      <c r="AL22" t="str">
        <f t="shared" ref="AL22:AL85" si="96">IF(R22=0,"",IF(R22&lt;&gt;R21,"--",IF(T22=0,"└","|")))</f>
        <v/>
      </c>
      <c r="AM22" t="str">
        <f t="shared" ref="AM22:AM85" si="97">IF(S22=0,"",IF(S22&lt;&gt;S21,"--",IF(U22=0,"└","|")))</f>
        <v/>
      </c>
      <c r="AN22" t="str">
        <f t="shared" ref="AN22:AN85" si="98">IF(T22=0,"",IF(T22&lt;&gt;T21,"--",IF(V22=0,"└","|")))</f>
        <v/>
      </c>
      <c r="AO22" t="str">
        <f t="shared" ref="AO22:AO85" si="99">IF(U22=0,"",IF(U22&lt;&gt;U21,"--",IF(W22=0,"└","|")))</f>
        <v/>
      </c>
      <c r="AP22" t="str">
        <f t="shared" ref="AP22:AP85" si="100">IF(V22=0,"",IF(V22&lt;&gt;V21,"--",IF(X22=0,"└","|")))</f>
        <v/>
      </c>
      <c r="AQ22" t="s">
        <v>1</v>
      </c>
      <c r="AR22" t="str">
        <f t="shared" si="55"/>
        <v>018</v>
      </c>
      <c r="AS22" t="str">
        <f t="shared" si="56"/>
        <v>00</v>
      </c>
      <c r="AT22" t="str">
        <f t="shared" si="56"/>
        <v>00</v>
      </c>
      <c r="AU22" t="str">
        <f t="shared" si="56"/>
        <v>00</v>
      </c>
      <c r="AV22" t="str">
        <f t="shared" si="57"/>
        <v>01</v>
      </c>
      <c r="AW22" t="str">
        <f t="shared" si="58"/>
        <v>03</v>
      </c>
      <c r="AX22" t="str">
        <f t="shared" si="59"/>
        <v>03</v>
      </c>
      <c r="AY22" t="str">
        <f t="shared" si="60"/>
        <v>03</v>
      </c>
      <c r="AZ22" t="str">
        <f t="shared" si="61"/>
        <v>00</v>
      </c>
      <c r="BA22" t="str">
        <f t="shared" si="62"/>
        <v>00</v>
      </c>
      <c r="BB22" t="str">
        <f t="shared" si="63"/>
        <v>00</v>
      </c>
      <c r="BC22" t="str">
        <f t="shared" si="64"/>
        <v>00</v>
      </c>
      <c r="BD22" t="str">
        <f t="shared" si="65"/>
        <v>00</v>
      </c>
      <c r="BE22" t="str">
        <f t="shared" si="66"/>
        <v>00</v>
      </c>
      <c r="BF22" t="str">
        <f t="shared" si="67"/>
        <v>00</v>
      </c>
      <c r="BG22" t="str">
        <f t="shared" si="68"/>
        <v>00</v>
      </c>
      <c r="BH22" t="str">
        <f t="shared" si="69"/>
        <v>00</v>
      </c>
      <c r="BI22" t="str">
        <f t="shared" si="70"/>
        <v>00</v>
      </c>
      <c r="BJ22" t="str">
        <f t="shared" si="71"/>
        <v>00</v>
      </c>
      <c r="BK22" t="str">
        <f t="shared" si="72"/>
        <v>00</v>
      </c>
      <c r="BL22" t="str">
        <f t="shared" si="73"/>
        <v>00</v>
      </c>
      <c r="BM22" t="str">
        <f t="shared" si="74"/>
        <v>00</v>
      </c>
      <c r="BN22" t="str">
        <f t="shared" si="75"/>
        <v>00</v>
      </c>
      <c r="BO22" t="str">
        <f t="shared" si="76"/>
        <v>04</v>
      </c>
      <c r="BP22" t="str">
        <f t="shared" si="77"/>
        <v>0103030300000000000000000000000000000004</v>
      </c>
      <c r="BQ22" t="str">
        <f t="shared" si="80"/>
        <v>Menu03 L04 N018</v>
      </c>
      <c r="BR22" t="str">
        <f t="shared" si="78"/>
        <v>file18</v>
      </c>
      <c r="BS22" t="str">
        <f t="shared" si="79"/>
        <v>018,00,00,00,01,03,03,03,00,00,00,00,00,00,00,00,00,00,00,00,00,00,00,04,0103030300000000000000000000000000000004,Menu03 L04 N018,file18</v>
      </c>
    </row>
    <row r="23" spans="3:71" x14ac:dyDescent="0.25">
      <c r="C23">
        <f t="shared" si="81"/>
        <v>19</v>
      </c>
      <c r="D23">
        <v>1</v>
      </c>
      <c r="E23">
        <v>3</v>
      </c>
      <c r="F23">
        <v>3</v>
      </c>
      <c r="G23">
        <v>4</v>
      </c>
      <c r="W23" t="s">
        <v>1</v>
      </c>
      <c r="X23" t="str">
        <f t="shared" si="82"/>
        <v>|</v>
      </c>
      <c r="Y23" t="str">
        <f t="shared" si="83"/>
        <v>|</v>
      </c>
      <c r="Z23" t="str">
        <f t="shared" si="84"/>
        <v>└</v>
      </c>
      <c r="AA23" t="str">
        <f t="shared" si="85"/>
        <v>--</v>
      </c>
      <c r="AB23" t="str">
        <f t="shared" si="86"/>
        <v/>
      </c>
      <c r="AC23" t="str">
        <f t="shared" si="87"/>
        <v/>
      </c>
      <c r="AD23" t="str">
        <f t="shared" si="88"/>
        <v/>
      </c>
      <c r="AE23" t="str">
        <f t="shared" si="89"/>
        <v/>
      </c>
      <c r="AF23" t="str">
        <f t="shared" si="90"/>
        <v/>
      </c>
      <c r="AG23" t="str">
        <f t="shared" si="91"/>
        <v/>
      </c>
      <c r="AH23" t="str">
        <f t="shared" si="92"/>
        <v/>
      </c>
      <c r="AI23" t="str">
        <f t="shared" si="93"/>
        <v/>
      </c>
      <c r="AJ23" t="str">
        <f t="shared" si="94"/>
        <v/>
      </c>
      <c r="AK23" t="str">
        <f t="shared" si="95"/>
        <v/>
      </c>
      <c r="AL23" t="str">
        <f t="shared" si="96"/>
        <v/>
      </c>
      <c r="AM23" t="str">
        <f t="shared" si="97"/>
        <v/>
      </c>
      <c r="AN23" t="str">
        <f t="shared" si="98"/>
        <v/>
      </c>
      <c r="AO23" t="str">
        <f t="shared" si="99"/>
        <v/>
      </c>
      <c r="AP23" t="str">
        <f t="shared" si="100"/>
        <v/>
      </c>
      <c r="AQ23" t="s">
        <v>1</v>
      </c>
      <c r="AR23" t="str">
        <f t="shared" si="55"/>
        <v>019</v>
      </c>
      <c r="AS23" t="str">
        <f t="shared" si="56"/>
        <v>00</v>
      </c>
      <c r="AT23" t="str">
        <f t="shared" si="56"/>
        <v>00</v>
      </c>
      <c r="AU23" t="str">
        <f t="shared" si="56"/>
        <v>00</v>
      </c>
      <c r="AV23" t="str">
        <f t="shared" si="57"/>
        <v>01</v>
      </c>
      <c r="AW23" t="str">
        <f t="shared" si="58"/>
        <v>03</v>
      </c>
      <c r="AX23" t="str">
        <f t="shared" si="59"/>
        <v>03</v>
      </c>
      <c r="AY23" t="str">
        <f t="shared" si="60"/>
        <v>04</v>
      </c>
      <c r="AZ23" t="str">
        <f t="shared" si="61"/>
        <v>00</v>
      </c>
      <c r="BA23" t="str">
        <f t="shared" si="62"/>
        <v>00</v>
      </c>
      <c r="BB23" t="str">
        <f t="shared" si="63"/>
        <v>00</v>
      </c>
      <c r="BC23" t="str">
        <f t="shared" si="64"/>
        <v>00</v>
      </c>
      <c r="BD23" t="str">
        <f t="shared" si="65"/>
        <v>00</v>
      </c>
      <c r="BE23" t="str">
        <f t="shared" si="66"/>
        <v>00</v>
      </c>
      <c r="BF23" t="str">
        <f t="shared" si="67"/>
        <v>00</v>
      </c>
      <c r="BG23" t="str">
        <f t="shared" si="68"/>
        <v>00</v>
      </c>
      <c r="BH23" t="str">
        <f t="shared" si="69"/>
        <v>00</v>
      </c>
      <c r="BI23" t="str">
        <f t="shared" si="70"/>
        <v>00</v>
      </c>
      <c r="BJ23" t="str">
        <f t="shared" si="71"/>
        <v>00</v>
      </c>
      <c r="BK23" t="str">
        <f t="shared" si="72"/>
        <v>00</v>
      </c>
      <c r="BL23" t="str">
        <f t="shared" si="73"/>
        <v>00</v>
      </c>
      <c r="BM23" t="str">
        <f t="shared" si="74"/>
        <v>00</v>
      </c>
      <c r="BN23" t="str">
        <f t="shared" si="75"/>
        <v>00</v>
      </c>
      <c r="BO23" t="str">
        <f t="shared" si="76"/>
        <v>04</v>
      </c>
      <c r="BP23" t="str">
        <f t="shared" si="77"/>
        <v>0103030400000000000000000000000000000004</v>
      </c>
      <c r="BQ23" t="str">
        <f t="shared" si="80"/>
        <v>Menu03 L04 N019</v>
      </c>
      <c r="BR23" t="str">
        <f t="shared" si="78"/>
        <v>file19</v>
      </c>
      <c r="BS23" t="str">
        <f t="shared" si="79"/>
        <v>019,00,00,00,01,03,03,04,00,00,00,00,00,00,00,00,00,00,00,00,00,00,00,04,0103030400000000000000000000000000000004,Menu03 L04 N019,file19</v>
      </c>
    </row>
    <row r="24" spans="3:71" x14ac:dyDescent="0.25">
      <c r="C24">
        <f t="shared" si="81"/>
        <v>20</v>
      </c>
      <c r="D24">
        <v>1</v>
      </c>
      <c r="E24">
        <v>4</v>
      </c>
      <c r="F24">
        <v>0</v>
      </c>
      <c r="W24" t="s">
        <v>1</v>
      </c>
      <c r="X24" t="str">
        <f t="shared" si="82"/>
        <v>└</v>
      </c>
      <c r="Y24" t="str">
        <f t="shared" si="83"/>
        <v>--</v>
      </c>
      <c r="Z24" t="str">
        <f t="shared" si="84"/>
        <v/>
      </c>
      <c r="AA24" t="str">
        <f t="shared" si="85"/>
        <v/>
      </c>
      <c r="AB24" t="str">
        <f t="shared" si="86"/>
        <v/>
      </c>
      <c r="AC24" t="str">
        <f t="shared" si="87"/>
        <v/>
      </c>
      <c r="AD24" t="str">
        <f t="shared" si="88"/>
        <v/>
      </c>
      <c r="AE24" t="str">
        <f t="shared" si="89"/>
        <v/>
      </c>
      <c r="AF24" t="str">
        <f t="shared" si="90"/>
        <v/>
      </c>
      <c r="AG24" t="str">
        <f t="shared" si="91"/>
        <v/>
      </c>
      <c r="AH24" t="str">
        <f t="shared" si="92"/>
        <v/>
      </c>
      <c r="AI24" t="str">
        <f t="shared" si="93"/>
        <v/>
      </c>
      <c r="AJ24" t="str">
        <f t="shared" si="94"/>
        <v/>
      </c>
      <c r="AK24" t="str">
        <f t="shared" si="95"/>
        <v/>
      </c>
      <c r="AL24" t="str">
        <f t="shared" si="96"/>
        <v/>
      </c>
      <c r="AM24" t="str">
        <f t="shared" si="97"/>
        <v/>
      </c>
      <c r="AN24" t="str">
        <f t="shared" si="98"/>
        <v/>
      </c>
      <c r="AO24" t="str">
        <f t="shared" si="99"/>
        <v/>
      </c>
      <c r="AP24" t="str">
        <f t="shared" si="100"/>
        <v/>
      </c>
      <c r="AQ24" t="s">
        <v>1</v>
      </c>
      <c r="AR24" t="str">
        <f t="shared" si="55"/>
        <v>020</v>
      </c>
      <c r="AS24" t="str">
        <f t="shared" si="56"/>
        <v>00</v>
      </c>
      <c r="AT24" t="str">
        <f t="shared" si="56"/>
        <v>00</v>
      </c>
      <c r="AU24" t="str">
        <f t="shared" si="56"/>
        <v>00</v>
      </c>
      <c r="AV24" t="str">
        <f t="shared" si="57"/>
        <v>01</v>
      </c>
      <c r="AW24" t="str">
        <f t="shared" si="58"/>
        <v>04</v>
      </c>
      <c r="AX24" t="str">
        <f t="shared" si="59"/>
        <v>00</v>
      </c>
      <c r="AY24" t="str">
        <f t="shared" si="60"/>
        <v>00</v>
      </c>
      <c r="AZ24" t="str">
        <f t="shared" si="61"/>
        <v>00</v>
      </c>
      <c r="BA24" t="str">
        <f t="shared" si="62"/>
        <v>00</v>
      </c>
      <c r="BB24" t="str">
        <f t="shared" si="63"/>
        <v>00</v>
      </c>
      <c r="BC24" t="str">
        <f t="shared" si="64"/>
        <v>00</v>
      </c>
      <c r="BD24" t="str">
        <f t="shared" si="65"/>
        <v>00</v>
      </c>
      <c r="BE24" t="str">
        <f t="shared" si="66"/>
        <v>00</v>
      </c>
      <c r="BF24" t="str">
        <f t="shared" si="67"/>
        <v>00</v>
      </c>
      <c r="BG24" t="str">
        <f t="shared" si="68"/>
        <v>00</v>
      </c>
      <c r="BH24" t="str">
        <f t="shared" si="69"/>
        <v>00</v>
      </c>
      <c r="BI24" t="str">
        <f t="shared" si="70"/>
        <v>00</v>
      </c>
      <c r="BJ24" t="str">
        <f t="shared" si="71"/>
        <v>00</v>
      </c>
      <c r="BK24" t="str">
        <f t="shared" si="72"/>
        <v>00</v>
      </c>
      <c r="BL24" t="str">
        <f t="shared" si="73"/>
        <v>00</v>
      </c>
      <c r="BM24" t="str">
        <f t="shared" si="74"/>
        <v>00</v>
      </c>
      <c r="BN24" t="str">
        <f t="shared" si="75"/>
        <v>00</v>
      </c>
      <c r="BO24" t="str">
        <f t="shared" si="76"/>
        <v>02</v>
      </c>
      <c r="BP24" t="str">
        <f t="shared" si="77"/>
        <v>0104000000000000000000000000000000000002</v>
      </c>
      <c r="BQ24" t="str">
        <f t="shared" si="80"/>
        <v>Menu04 L02 N020</v>
      </c>
      <c r="BR24" t="str">
        <f t="shared" si="78"/>
        <v>file20</v>
      </c>
      <c r="BS24" t="str">
        <f t="shared" si="79"/>
        <v>020,00,00,00,01,04,00,00,00,00,00,00,00,00,00,00,00,00,00,00,00,00,00,02,0104000000000000000000000000000000000002,Menu04 L02 N020,file20</v>
      </c>
    </row>
    <row r="25" spans="3:71" x14ac:dyDescent="0.25">
      <c r="C25">
        <f t="shared" si="81"/>
        <v>21</v>
      </c>
      <c r="D25">
        <v>1</v>
      </c>
      <c r="E25">
        <v>4</v>
      </c>
      <c r="F25">
        <v>1</v>
      </c>
      <c r="W25" t="s">
        <v>1</v>
      </c>
      <c r="X25" t="str">
        <f t="shared" si="82"/>
        <v>|</v>
      </c>
      <c r="Y25" t="str">
        <f t="shared" si="83"/>
        <v>└</v>
      </c>
      <c r="Z25" t="str">
        <f t="shared" si="84"/>
        <v>--</v>
      </c>
      <c r="AA25" t="str">
        <f t="shared" si="85"/>
        <v/>
      </c>
      <c r="AB25" t="str">
        <f t="shared" si="86"/>
        <v/>
      </c>
      <c r="AC25" t="str">
        <f t="shared" si="87"/>
        <v/>
      </c>
      <c r="AD25" t="str">
        <f t="shared" si="88"/>
        <v/>
      </c>
      <c r="AE25" t="str">
        <f t="shared" si="89"/>
        <v/>
      </c>
      <c r="AF25" t="str">
        <f t="shared" si="90"/>
        <v/>
      </c>
      <c r="AG25" t="str">
        <f t="shared" si="91"/>
        <v/>
      </c>
      <c r="AH25" t="str">
        <f t="shared" si="92"/>
        <v/>
      </c>
      <c r="AI25" t="str">
        <f t="shared" si="93"/>
        <v/>
      </c>
      <c r="AJ25" t="str">
        <f t="shared" si="94"/>
        <v/>
      </c>
      <c r="AK25" t="str">
        <f t="shared" si="95"/>
        <v/>
      </c>
      <c r="AL25" t="str">
        <f t="shared" si="96"/>
        <v/>
      </c>
      <c r="AM25" t="str">
        <f t="shared" si="97"/>
        <v/>
      </c>
      <c r="AN25" t="str">
        <f t="shared" si="98"/>
        <v/>
      </c>
      <c r="AO25" t="str">
        <f t="shared" si="99"/>
        <v/>
      </c>
      <c r="AP25" t="str">
        <f t="shared" si="100"/>
        <v/>
      </c>
      <c r="AQ25" t="s">
        <v>1</v>
      </c>
      <c r="AR25" t="str">
        <f t="shared" si="55"/>
        <v>021</v>
      </c>
      <c r="AS25" t="str">
        <f t="shared" si="56"/>
        <v>00</v>
      </c>
      <c r="AT25" t="str">
        <f t="shared" si="56"/>
        <v>00</v>
      </c>
      <c r="AU25" t="str">
        <f t="shared" si="56"/>
        <v>00</v>
      </c>
      <c r="AV25" t="str">
        <f t="shared" si="57"/>
        <v>01</v>
      </c>
      <c r="AW25" t="str">
        <f t="shared" si="58"/>
        <v>04</v>
      </c>
      <c r="AX25" t="str">
        <f t="shared" si="59"/>
        <v>01</v>
      </c>
      <c r="AY25" t="str">
        <f t="shared" si="60"/>
        <v>00</v>
      </c>
      <c r="AZ25" t="str">
        <f t="shared" si="61"/>
        <v>00</v>
      </c>
      <c r="BA25" t="str">
        <f t="shared" si="62"/>
        <v>00</v>
      </c>
      <c r="BB25" t="str">
        <f t="shared" si="63"/>
        <v>00</v>
      </c>
      <c r="BC25" t="str">
        <f t="shared" si="64"/>
        <v>00</v>
      </c>
      <c r="BD25" t="str">
        <f t="shared" si="65"/>
        <v>00</v>
      </c>
      <c r="BE25" t="str">
        <f t="shared" si="66"/>
        <v>00</v>
      </c>
      <c r="BF25" t="str">
        <f t="shared" si="67"/>
        <v>00</v>
      </c>
      <c r="BG25" t="str">
        <f t="shared" si="68"/>
        <v>00</v>
      </c>
      <c r="BH25" t="str">
        <f t="shared" si="69"/>
        <v>00</v>
      </c>
      <c r="BI25" t="str">
        <f t="shared" si="70"/>
        <v>00</v>
      </c>
      <c r="BJ25" t="str">
        <f t="shared" si="71"/>
        <v>00</v>
      </c>
      <c r="BK25" t="str">
        <f t="shared" si="72"/>
        <v>00</v>
      </c>
      <c r="BL25" t="str">
        <f t="shared" si="73"/>
        <v>00</v>
      </c>
      <c r="BM25" t="str">
        <f t="shared" si="74"/>
        <v>00</v>
      </c>
      <c r="BN25" t="str">
        <f t="shared" si="75"/>
        <v>00</v>
      </c>
      <c r="BO25" t="str">
        <f t="shared" si="76"/>
        <v>03</v>
      </c>
      <c r="BP25" t="str">
        <f t="shared" si="77"/>
        <v>0104010000000000000000000000000000000003</v>
      </c>
      <c r="BQ25" t="str">
        <f t="shared" si="80"/>
        <v>Menu04 L03 N021</v>
      </c>
      <c r="BR25" t="str">
        <f t="shared" si="78"/>
        <v>file21</v>
      </c>
      <c r="BS25" t="str">
        <f t="shared" si="79"/>
        <v>021,00,00,00,01,04,01,00,00,00,00,00,00,00,00,00,00,00,00,00,00,00,00,03,0104010000000000000000000000000000000003,Menu04 L03 N021,file21</v>
      </c>
    </row>
    <row r="26" spans="3:71" x14ac:dyDescent="0.25">
      <c r="C26">
        <f t="shared" si="81"/>
        <v>22</v>
      </c>
      <c r="D26">
        <v>1</v>
      </c>
      <c r="E26">
        <v>4</v>
      </c>
      <c r="F26">
        <v>2</v>
      </c>
      <c r="G26">
        <v>0</v>
      </c>
      <c r="W26" t="s">
        <v>1</v>
      </c>
      <c r="X26" t="str">
        <f t="shared" si="82"/>
        <v>|</v>
      </c>
      <c r="Y26" t="str">
        <f t="shared" si="83"/>
        <v>└</v>
      </c>
      <c r="Z26" t="str">
        <f t="shared" si="84"/>
        <v>--</v>
      </c>
      <c r="AA26" t="str">
        <f t="shared" si="85"/>
        <v/>
      </c>
      <c r="AB26" t="str">
        <f t="shared" si="86"/>
        <v/>
      </c>
      <c r="AC26" t="str">
        <f t="shared" si="87"/>
        <v/>
      </c>
      <c r="AD26" t="str">
        <f t="shared" si="88"/>
        <v/>
      </c>
      <c r="AE26" t="str">
        <f t="shared" si="89"/>
        <v/>
      </c>
      <c r="AF26" t="str">
        <f t="shared" si="90"/>
        <v/>
      </c>
      <c r="AG26" t="str">
        <f t="shared" si="91"/>
        <v/>
      </c>
      <c r="AH26" t="str">
        <f t="shared" si="92"/>
        <v/>
      </c>
      <c r="AI26" t="str">
        <f t="shared" si="93"/>
        <v/>
      </c>
      <c r="AJ26" t="str">
        <f t="shared" si="94"/>
        <v/>
      </c>
      <c r="AK26" t="str">
        <f t="shared" si="95"/>
        <v/>
      </c>
      <c r="AL26" t="str">
        <f t="shared" si="96"/>
        <v/>
      </c>
      <c r="AM26" t="str">
        <f t="shared" si="97"/>
        <v/>
      </c>
      <c r="AN26" t="str">
        <f t="shared" si="98"/>
        <v/>
      </c>
      <c r="AO26" t="str">
        <f t="shared" si="99"/>
        <v/>
      </c>
      <c r="AP26" t="str">
        <f t="shared" si="100"/>
        <v/>
      </c>
      <c r="AQ26" t="s">
        <v>1</v>
      </c>
      <c r="AR26" t="str">
        <f t="shared" si="55"/>
        <v>022</v>
      </c>
      <c r="AS26" t="str">
        <f t="shared" si="56"/>
        <v>00</v>
      </c>
      <c r="AT26" t="str">
        <f t="shared" si="56"/>
        <v>00</v>
      </c>
      <c r="AU26" t="str">
        <f t="shared" si="56"/>
        <v>00</v>
      </c>
      <c r="AV26" t="str">
        <f t="shared" si="57"/>
        <v>01</v>
      </c>
      <c r="AW26" t="str">
        <f t="shared" si="58"/>
        <v>04</v>
      </c>
      <c r="AX26" t="str">
        <f t="shared" si="59"/>
        <v>02</v>
      </c>
      <c r="AY26" t="str">
        <f t="shared" si="60"/>
        <v>00</v>
      </c>
      <c r="AZ26" t="str">
        <f t="shared" si="61"/>
        <v>00</v>
      </c>
      <c r="BA26" t="str">
        <f t="shared" si="62"/>
        <v>00</v>
      </c>
      <c r="BB26" t="str">
        <f t="shared" si="63"/>
        <v>00</v>
      </c>
      <c r="BC26" t="str">
        <f t="shared" si="64"/>
        <v>00</v>
      </c>
      <c r="BD26" t="str">
        <f t="shared" si="65"/>
        <v>00</v>
      </c>
      <c r="BE26" t="str">
        <f t="shared" si="66"/>
        <v>00</v>
      </c>
      <c r="BF26" t="str">
        <f t="shared" si="67"/>
        <v>00</v>
      </c>
      <c r="BG26" t="str">
        <f t="shared" si="68"/>
        <v>00</v>
      </c>
      <c r="BH26" t="str">
        <f t="shared" si="69"/>
        <v>00</v>
      </c>
      <c r="BI26" t="str">
        <f t="shared" si="70"/>
        <v>00</v>
      </c>
      <c r="BJ26" t="str">
        <f t="shared" si="71"/>
        <v>00</v>
      </c>
      <c r="BK26" t="str">
        <f t="shared" si="72"/>
        <v>00</v>
      </c>
      <c r="BL26" t="str">
        <f t="shared" si="73"/>
        <v>00</v>
      </c>
      <c r="BM26" t="str">
        <f t="shared" si="74"/>
        <v>00</v>
      </c>
      <c r="BN26" t="str">
        <f t="shared" si="75"/>
        <v>00</v>
      </c>
      <c r="BO26" t="str">
        <f t="shared" si="76"/>
        <v>03</v>
      </c>
      <c r="BP26" t="str">
        <f t="shared" si="77"/>
        <v>0104020000000000000000000000000000000003</v>
      </c>
      <c r="BQ26" t="str">
        <f t="shared" si="80"/>
        <v>Menu04 L03 N022</v>
      </c>
      <c r="BR26" t="str">
        <f t="shared" si="78"/>
        <v>file22</v>
      </c>
      <c r="BS26" t="str">
        <f t="shared" si="79"/>
        <v>022,00,00,00,01,04,02,00,00,00,00,00,00,00,00,00,00,00,00,00,00,00,00,03,0104020000000000000000000000000000000003,Menu04 L03 N022,file22</v>
      </c>
    </row>
    <row r="27" spans="3:71" x14ac:dyDescent="0.25">
      <c r="C27">
        <f t="shared" si="81"/>
        <v>23</v>
      </c>
      <c r="D27">
        <v>1</v>
      </c>
      <c r="E27">
        <v>4</v>
      </c>
      <c r="F27">
        <v>2</v>
      </c>
      <c r="G27">
        <v>1</v>
      </c>
      <c r="W27" t="s">
        <v>1</v>
      </c>
      <c r="X27" t="str">
        <f t="shared" si="82"/>
        <v>|</v>
      </c>
      <c r="Y27" t="str">
        <f t="shared" si="83"/>
        <v>|</v>
      </c>
      <c r="Z27" t="str">
        <f t="shared" si="84"/>
        <v>└</v>
      </c>
      <c r="AA27" t="str">
        <f t="shared" si="85"/>
        <v>--</v>
      </c>
      <c r="AB27" t="str">
        <f t="shared" si="86"/>
        <v/>
      </c>
      <c r="AC27" t="str">
        <f t="shared" si="87"/>
        <v/>
      </c>
      <c r="AD27" t="str">
        <f t="shared" si="88"/>
        <v/>
      </c>
      <c r="AE27" t="str">
        <f t="shared" si="89"/>
        <v/>
      </c>
      <c r="AF27" t="str">
        <f t="shared" si="90"/>
        <v/>
      </c>
      <c r="AG27" t="str">
        <f t="shared" si="91"/>
        <v/>
      </c>
      <c r="AH27" t="str">
        <f t="shared" si="92"/>
        <v/>
      </c>
      <c r="AI27" t="str">
        <f t="shared" si="93"/>
        <v/>
      </c>
      <c r="AJ27" t="str">
        <f t="shared" si="94"/>
        <v/>
      </c>
      <c r="AK27" t="str">
        <f t="shared" si="95"/>
        <v/>
      </c>
      <c r="AL27" t="str">
        <f t="shared" si="96"/>
        <v/>
      </c>
      <c r="AM27" t="str">
        <f t="shared" si="97"/>
        <v/>
      </c>
      <c r="AN27" t="str">
        <f t="shared" si="98"/>
        <v/>
      </c>
      <c r="AO27" t="str">
        <f t="shared" si="99"/>
        <v/>
      </c>
      <c r="AP27" t="str">
        <f t="shared" si="100"/>
        <v/>
      </c>
      <c r="AQ27" t="s">
        <v>1</v>
      </c>
      <c r="AR27" t="str">
        <f t="shared" si="55"/>
        <v>023</v>
      </c>
      <c r="AS27" t="str">
        <f t="shared" si="56"/>
        <v>00</v>
      </c>
      <c r="AT27" t="str">
        <f t="shared" si="56"/>
        <v>00</v>
      </c>
      <c r="AU27" t="str">
        <f t="shared" si="56"/>
        <v>00</v>
      </c>
      <c r="AV27" t="str">
        <f t="shared" si="57"/>
        <v>01</v>
      </c>
      <c r="AW27" t="str">
        <f t="shared" si="58"/>
        <v>04</v>
      </c>
      <c r="AX27" t="str">
        <f t="shared" si="59"/>
        <v>02</v>
      </c>
      <c r="AY27" t="str">
        <f t="shared" si="60"/>
        <v>01</v>
      </c>
      <c r="AZ27" t="str">
        <f t="shared" si="61"/>
        <v>00</v>
      </c>
      <c r="BA27" t="str">
        <f t="shared" si="62"/>
        <v>00</v>
      </c>
      <c r="BB27" t="str">
        <f t="shared" si="63"/>
        <v>00</v>
      </c>
      <c r="BC27" t="str">
        <f t="shared" si="64"/>
        <v>00</v>
      </c>
      <c r="BD27" t="str">
        <f t="shared" si="65"/>
        <v>00</v>
      </c>
      <c r="BE27" t="str">
        <f t="shared" si="66"/>
        <v>00</v>
      </c>
      <c r="BF27" t="str">
        <f t="shared" si="67"/>
        <v>00</v>
      </c>
      <c r="BG27" t="str">
        <f t="shared" si="68"/>
        <v>00</v>
      </c>
      <c r="BH27" t="str">
        <f t="shared" si="69"/>
        <v>00</v>
      </c>
      <c r="BI27" t="str">
        <f t="shared" si="70"/>
        <v>00</v>
      </c>
      <c r="BJ27" t="str">
        <f t="shared" si="71"/>
        <v>00</v>
      </c>
      <c r="BK27" t="str">
        <f t="shared" si="72"/>
        <v>00</v>
      </c>
      <c r="BL27" t="str">
        <f t="shared" si="73"/>
        <v>00</v>
      </c>
      <c r="BM27" t="str">
        <f t="shared" si="74"/>
        <v>00</v>
      </c>
      <c r="BN27" t="str">
        <f t="shared" si="75"/>
        <v>00</v>
      </c>
      <c r="BO27" t="str">
        <f t="shared" si="76"/>
        <v>04</v>
      </c>
      <c r="BP27" t="str">
        <f t="shared" si="77"/>
        <v>0104020100000000000000000000000000000004</v>
      </c>
      <c r="BQ27" t="str">
        <f t="shared" si="80"/>
        <v>Menu04 L04 N023</v>
      </c>
      <c r="BR27" t="str">
        <f t="shared" si="78"/>
        <v>file23</v>
      </c>
      <c r="BS27" t="str">
        <f t="shared" si="79"/>
        <v>023,00,00,00,01,04,02,01,00,00,00,00,00,00,00,00,00,00,00,00,00,00,00,04,0104020100000000000000000000000000000004,Menu04 L04 N023,file23</v>
      </c>
    </row>
    <row r="28" spans="3:71" x14ac:dyDescent="0.25">
      <c r="C28">
        <f t="shared" si="81"/>
        <v>24</v>
      </c>
      <c r="D28">
        <v>1</v>
      </c>
      <c r="E28">
        <v>4</v>
      </c>
      <c r="F28">
        <v>2</v>
      </c>
      <c r="G28">
        <v>2</v>
      </c>
      <c r="H28">
        <v>0</v>
      </c>
      <c r="W28" t="s">
        <v>1</v>
      </c>
      <c r="X28" t="str">
        <f t="shared" si="82"/>
        <v>|</v>
      </c>
      <c r="Y28" t="str">
        <f t="shared" si="83"/>
        <v>|</v>
      </c>
      <c r="Z28" t="str">
        <f t="shared" si="84"/>
        <v>└</v>
      </c>
      <c r="AA28" t="str">
        <f t="shared" si="85"/>
        <v>--</v>
      </c>
      <c r="AB28" t="str">
        <f t="shared" si="86"/>
        <v/>
      </c>
      <c r="AC28" t="str">
        <f t="shared" si="87"/>
        <v/>
      </c>
      <c r="AD28" t="str">
        <f t="shared" si="88"/>
        <v/>
      </c>
      <c r="AE28" t="str">
        <f t="shared" si="89"/>
        <v/>
      </c>
      <c r="AF28" t="str">
        <f t="shared" si="90"/>
        <v/>
      </c>
      <c r="AG28" t="str">
        <f t="shared" si="91"/>
        <v/>
      </c>
      <c r="AH28" t="str">
        <f t="shared" si="92"/>
        <v/>
      </c>
      <c r="AI28" t="str">
        <f t="shared" si="93"/>
        <v/>
      </c>
      <c r="AJ28" t="str">
        <f t="shared" si="94"/>
        <v/>
      </c>
      <c r="AK28" t="str">
        <f t="shared" si="95"/>
        <v/>
      </c>
      <c r="AL28" t="str">
        <f t="shared" si="96"/>
        <v/>
      </c>
      <c r="AM28" t="str">
        <f t="shared" si="97"/>
        <v/>
      </c>
      <c r="AN28" t="str">
        <f t="shared" si="98"/>
        <v/>
      </c>
      <c r="AO28" t="str">
        <f t="shared" si="99"/>
        <v/>
      </c>
      <c r="AP28" t="str">
        <f t="shared" si="100"/>
        <v/>
      </c>
      <c r="AQ28" t="s">
        <v>1</v>
      </c>
      <c r="AR28" t="str">
        <f t="shared" si="55"/>
        <v>024</v>
      </c>
      <c r="AS28" t="str">
        <f t="shared" si="56"/>
        <v>00</v>
      </c>
      <c r="AT28" t="str">
        <f t="shared" si="56"/>
        <v>00</v>
      </c>
      <c r="AU28" t="str">
        <f t="shared" si="56"/>
        <v>00</v>
      </c>
      <c r="AV28" t="str">
        <f t="shared" si="57"/>
        <v>01</v>
      </c>
      <c r="AW28" t="str">
        <f t="shared" si="58"/>
        <v>04</v>
      </c>
      <c r="AX28" t="str">
        <f t="shared" si="59"/>
        <v>02</v>
      </c>
      <c r="AY28" t="str">
        <f t="shared" si="60"/>
        <v>02</v>
      </c>
      <c r="AZ28" t="str">
        <f t="shared" si="61"/>
        <v>00</v>
      </c>
      <c r="BA28" t="str">
        <f t="shared" si="62"/>
        <v>00</v>
      </c>
      <c r="BB28" t="str">
        <f t="shared" si="63"/>
        <v>00</v>
      </c>
      <c r="BC28" t="str">
        <f t="shared" si="64"/>
        <v>00</v>
      </c>
      <c r="BD28" t="str">
        <f t="shared" si="65"/>
        <v>00</v>
      </c>
      <c r="BE28" t="str">
        <f t="shared" si="66"/>
        <v>00</v>
      </c>
      <c r="BF28" t="str">
        <f t="shared" si="67"/>
        <v>00</v>
      </c>
      <c r="BG28" t="str">
        <f t="shared" si="68"/>
        <v>00</v>
      </c>
      <c r="BH28" t="str">
        <f t="shared" si="69"/>
        <v>00</v>
      </c>
      <c r="BI28" t="str">
        <f t="shared" si="70"/>
        <v>00</v>
      </c>
      <c r="BJ28" t="str">
        <f t="shared" si="71"/>
        <v>00</v>
      </c>
      <c r="BK28" t="str">
        <f t="shared" si="72"/>
        <v>00</v>
      </c>
      <c r="BL28" t="str">
        <f t="shared" si="73"/>
        <v>00</v>
      </c>
      <c r="BM28" t="str">
        <f t="shared" si="74"/>
        <v>00</v>
      </c>
      <c r="BN28" t="str">
        <f t="shared" si="75"/>
        <v>00</v>
      </c>
      <c r="BO28" t="str">
        <f t="shared" si="76"/>
        <v>04</v>
      </c>
      <c r="BP28" t="str">
        <f t="shared" si="77"/>
        <v>0104020200000000000000000000000000000004</v>
      </c>
      <c r="BQ28" t="str">
        <f t="shared" si="80"/>
        <v>Menu04 L04 N024</v>
      </c>
      <c r="BR28" t="str">
        <f t="shared" si="78"/>
        <v>file24</v>
      </c>
      <c r="BS28" t="str">
        <f t="shared" si="79"/>
        <v>024,00,00,00,01,04,02,02,00,00,00,00,00,00,00,00,00,00,00,00,00,00,00,04,0104020200000000000000000000000000000004,Menu04 L04 N024,file24</v>
      </c>
    </row>
    <row r="29" spans="3:71" x14ac:dyDescent="0.25">
      <c r="C29">
        <f t="shared" si="81"/>
        <v>25</v>
      </c>
      <c r="D29">
        <v>1</v>
      </c>
      <c r="E29">
        <v>4</v>
      </c>
      <c r="F29">
        <f>F27</f>
        <v>2</v>
      </c>
      <c r="G29">
        <v>2</v>
      </c>
      <c r="H29">
        <v>1</v>
      </c>
      <c r="W29" t="s">
        <v>1</v>
      </c>
      <c r="X29" t="str">
        <f t="shared" si="82"/>
        <v>|</v>
      </c>
      <c r="Y29" t="str">
        <f t="shared" si="83"/>
        <v>|</v>
      </c>
      <c r="Z29" t="str">
        <f t="shared" si="84"/>
        <v>|</v>
      </c>
      <c r="AA29" t="str">
        <f t="shared" si="85"/>
        <v>└</v>
      </c>
      <c r="AB29" t="str">
        <f t="shared" si="86"/>
        <v>--</v>
      </c>
      <c r="AC29" t="str">
        <f t="shared" si="87"/>
        <v/>
      </c>
      <c r="AD29" t="str">
        <f t="shared" si="88"/>
        <v/>
      </c>
      <c r="AE29" t="str">
        <f t="shared" si="89"/>
        <v/>
      </c>
      <c r="AF29" t="str">
        <f t="shared" si="90"/>
        <v/>
      </c>
      <c r="AG29" t="str">
        <f t="shared" si="91"/>
        <v/>
      </c>
      <c r="AH29" t="str">
        <f t="shared" si="92"/>
        <v/>
      </c>
      <c r="AI29" t="str">
        <f t="shared" si="93"/>
        <v/>
      </c>
      <c r="AJ29" t="str">
        <f t="shared" si="94"/>
        <v/>
      </c>
      <c r="AK29" t="str">
        <f t="shared" si="95"/>
        <v/>
      </c>
      <c r="AL29" t="str">
        <f t="shared" si="96"/>
        <v/>
      </c>
      <c r="AM29" t="str">
        <f t="shared" si="97"/>
        <v/>
      </c>
      <c r="AN29" t="str">
        <f t="shared" si="98"/>
        <v/>
      </c>
      <c r="AO29" t="str">
        <f t="shared" si="99"/>
        <v/>
      </c>
      <c r="AP29" t="str">
        <f t="shared" si="100"/>
        <v/>
      </c>
      <c r="AQ29" t="s">
        <v>1</v>
      </c>
      <c r="AR29" t="str">
        <f t="shared" si="55"/>
        <v>025</v>
      </c>
      <c r="AS29" t="str">
        <f t="shared" si="56"/>
        <v>00</v>
      </c>
      <c r="AT29" t="str">
        <f t="shared" si="56"/>
        <v>00</v>
      </c>
      <c r="AU29" t="str">
        <f t="shared" si="56"/>
        <v>00</v>
      </c>
      <c r="AV29" t="str">
        <f t="shared" si="57"/>
        <v>01</v>
      </c>
      <c r="AW29" t="str">
        <f t="shared" si="58"/>
        <v>04</v>
      </c>
      <c r="AX29" t="str">
        <f t="shared" si="59"/>
        <v>02</v>
      </c>
      <c r="AY29" t="str">
        <f t="shared" si="60"/>
        <v>02</v>
      </c>
      <c r="AZ29" t="str">
        <f t="shared" si="61"/>
        <v>01</v>
      </c>
      <c r="BA29" t="str">
        <f t="shared" si="62"/>
        <v>00</v>
      </c>
      <c r="BB29" t="str">
        <f t="shared" si="63"/>
        <v>00</v>
      </c>
      <c r="BC29" t="str">
        <f t="shared" si="64"/>
        <v>00</v>
      </c>
      <c r="BD29" t="str">
        <f t="shared" si="65"/>
        <v>00</v>
      </c>
      <c r="BE29" t="str">
        <f t="shared" si="66"/>
        <v>00</v>
      </c>
      <c r="BF29" t="str">
        <f t="shared" si="67"/>
        <v>00</v>
      </c>
      <c r="BG29" t="str">
        <f t="shared" si="68"/>
        <v>00</v>
      </c>
      <c r="BH29" t="str">
        <f t="shared" si="69"/>
        <v>00</v>
      </c>
      <c r="BI29" t="str">
        <f t="shared" si="70"/>
        <v>00</v>
      </c>
      <c r="BJ29" t="str">
        <f t="shared" si="71"/>
        <v>00</v>
      </c>
      <c r="BK29" t="str">
        <f t="shared" si="72"/>
        <v>00</v>
      </c>
      <c r="BL29" t="str">
        <f t="shared" si="73"/>
        <v>00</v>
      </c>
      <c r="BM29" t="str">
        <f t="shared" si="74"/>
        <v>00</v>
      </c>
      <c r="BN29" t="str">
        <f t="shared" si="75"/>
        <v>00</v>
      </c>
      <c r="BO29" t="str">
        <f t="shared" si="76"/>
        <v>05</v>
      </c>
      <c r="BP29" t="str">
        <f t="shared" si="77"/>
        <v>0104020201000000000000000000000000000005</v>
      </c>
      <c r="BQ29" t="str">
        <f t="shared" si="80"/>
        <v>Menu04 L05 N025</v>
      </c>
      <c r="BR29" t="str">
        <f t="shared" si="78"/>
        <v>file25</v>
      </c>
      <c r="BS29" t="str">
        <f t="shared" si="79"/>
        <v>025,00,00,00,01,04,02,02,01,00,00,00,00,00,00,00,00,00,00,00,00,00,00,05,0104020201000000000000000000000000000005,Menu04 L05 N025,file25</v>
      </c>
    </row>
    <row r="30" spans="3:71" x14ac:dyDescent="0.25">
      <c r="C30">
        <f t="shared" si="81"/>
        <v>26</v>
      </c>
      <c r="D30">
        <v>1</v>
      </c>
      <c r="E30">
        <v>4</v>
      </c>
      <c r="F30">
        <v>2</v>
      </c>
      <c r="G30">
        <v>2</v>
      </c>
      <c r="H30">
        <v>2</v>
      </c>
      <c r="I30">
        <v>0</v>
      </c>
      <c r="W30" t="s">
        <v>1</v>
      </c>
      <c r="X30" t="str">
        <f t="shared" si="82"/>
        <v>|</v>
      </c>
      <c r="Y30" t="str">
        <f t="shared" si="83"/>
        <v>|</v>
      </c>
      <c r="Z30" t="str">
        <f t="shared" si="84"/>
        <v>|</v>
      </c>
      <c r="AA30" t="str">
        <f t="shared" si="85"/>
        <v>└</v>
      </c>
      <c r="AB30" t="str">
        <f t="shared" si="86"/>
        <v>--</v>
      </c>
      <c r="AC30" t="str">
        <f t="shared" si="87"/>
        <v/>
      </c>
      <c r="AD30" t="str">
        <f t="shared" si="88"/>
        <v/>
      </c>
      <c r="AE30" t="str">
        <f t="shared" si="89"/>
        <v/>
      </c>
      <c r="AF30" t="str">
        <f t="shared" si="90"/>
        <v/>
      </c>
      <c r="AG30" t="str">
        <f t="shared" si="91"/>
        <v/>
      </c>
      <c r="AH30" t="str">
        <f t="shared" si="92"/>
        <v/>
      </c>
      <c r="AI30" t="str">
        <f t="shared" si="93"/>
        <v/>
      </c>
      <c r="AJ30" t="str">
        <f t="shared" si="94"/>
        <v/>
      </c>
      <c r="AK30" t="str">
        <f t="shared" si="95"/>
        <v/>
      </c>
      <c r="AL30" t="str">
        <f t="shared" si="96"/>
        <v/>
      </c>
      <c r="AM30" t="str">
        <f t="shared" si="97"/>
        <v/>
      </c>
      <c r="AN30" t="str">
        <f t="shared" si="98"/>
        <v/>
      </c>
      <c r="AO30" t="str">
        <f t="shared" si="99"/>
        <v/>
      </c>
      <c r="AP30" t="str">
        <f t="shared" si="100"/>
        <v/>
      </c>
      <c r="AQ30" t="s">
        <v>1</v>
      </c>
      <c r="AR30" t="str">
        <f t="shared" si="55"/>
        <v>026</v>
      </c>
      <c r="AS30" t="str">
        <f t="shared" si="56"/>
        <v>00</v>
      </c>
      <c r="AT30" t="str">
        <f t="shared" si="56"/>
        <v>00</v>
      </c>
      <c r="AU30" t="str">
        <f t="shared" si="56"/>
        <v>00</v>
      </c>
      <c r="AV30" t="str">
        <f t="shared" si="57"/>
        <v>01</v>
      </c>
      <c r="AW30" t="str">
        <f t="shared" si="58"/>
        <v>04</v>
      </c>
      <c r="AX30" t="str">
        <f t="shared" si="59"/>
        <v>02</v>
      </c>
      <c r="AY30" t="str">
        <f t="shared" si="60"/>
        <v>02</v>
      </c>
      <c r="AZ30" t="str">
        <f t="shared" si="61"/>
        <v>02</v>
      </c>
      <c r="BA30" t="str">
        <f t="shared" si="62"/>
        <v>00</v>
      </c>
      <c r="BB30" t="str">
        <f t="shared" si="63"/>
        <v>00</v>
      </c>
      <c r="BC30" t="str">
        <f t="shared" si="64"/>
        <v>00</v>
      </c>
      <c r="BD30" t="str">
        <f t="shared" si="65"/>
        <v>00</v>
      </c>
      <c r="BE30" t="str">
        <f t="shared" si="66"/>
        <v>00</v>
      </c>
      <c r="BF30" t="str">
        <f t="shared" si="67"/>
        <v>00</v>
      </c>
      <c r="BG30" t="str">
        <f t="shared" si="68"/>
        <v>00</v>
      </c>
      <c r="BH30" t="str">
        <f t="shared" si="69"/>
        <v>00</v>
      </c>
      <c r="BI30" t="str">
        <f t="shared" si="70"/>
        <v>00</v>
      </c>
      <c r="BJ30" t="str">
        <f t="shared" si="71"/>
        <v>00</v>
      </c>
      <c r="BK30" t="str">
        <f t="shared" si="72"/>
        <v>00</v>
      </c>
      <c r="BL30" t="str">
        <f t="shared" si="73"/>
        <v>00</v>
      </c>
      <c r="BM30" t="str">
        <f t="shared" si="74"/>
        <v>00</v>
      </c>
      <c r="BN30" t="str">
        <f t="shared" si="75"/>
        <v>00</v>
      </c>
      <c r="BO30" t="str">
        <f t="shared" si="76"/>
        <v>05</v>
      </c>
      <c r="BP30" t="str">
        <f t="shared" si="77"/>
        <v>0104020202000000000000000000000000000005</v>
      </c>
      <c r="BQ30" t="str">
        <f t="shared" si="80"/>
        <v>Menu04 L05 N026</v>
      </c>
      <c r="BR30" t="str">
        <f t="shared" si="78"/>
        <v>file26</v>
      </c>
      <c r="BS30" t="str">
        <f t="shared" si="79"/>
        <v>026,00,00,00,01,04,02,02,02,00,00,00,00,00,00,00,00,00,00,00,00,00,00,05,0104020202000000000000000000000000000005,Menu04 L05 N026,file26</v>
      </c>
    </row>
    <row r="31" spans="3:71" x14ac:dyDescent="0.25">
      <c r="C31">
        <f t="shared" si="81"/>
        <v>27</v>
      </c>
      <c r="D31">
        <v>1</v>
      </c>
      <c r="E31">
        <v>4</v>
      </c>
      <c r="F31">
        <f>F29</f>
        <v>2</v>
      </c>
      <c r="G31">
        <f>G29</f>
        <v>2</v>
      </c>
      <c r="H31">
        <v>2</v>
      </c>
      <c r="I31">
        <v>1</v>
      </c>
      <c r="W31" t="s">
        <v>1</v>
      </c>
      <c r="X31" t="str">
        <f t="shared" si="82"/>
        <v>|</v>
      </c>
      <c r="Y31" t="str">
        <f t="shared" si="83"/>
        <v>|</v>
      </c>
      <c r="Z31" t="str">
        <f t="shared" si="84"/>
        <v>|</v>
      </c>
      <c r="AA31" t="str">
        <f t="shared" si="85"/>
        <v>|</v>
      </c>
      <c r="AB31" t="str">
        <f t="shared" si="86"/>
        <v>└</v>
      </c>
      <c r="AC31" t="str">
        <f t="shared" si="87"/>
        <v>--</v>
      </c>
      <c r="AD31" t="str">
        <f t="shared" si="88"/>
        <v/>
      </c>
      <c r="AE31" t="str">
        <f t="shared" si="89"/>
        <v/>
      </c>
      <c r="AF31" t="str">
        <f t="shared" si="90"/>
        <v/>
      </c>
      <c r="AG31" t="str">
        <f t="shared" si="91"/>
        <v/>
      </c>
      <c r="AH31" t="str">
        <f t="shared" si="92"/>
        <v/>
      </c>
      <c r="AI31" t="str">
        <f t="shared" si="93"/>
        <v/>
      </c>
      <c r="AJ31" t="str">
        <f t="shared" si="94"/>
        <v/>
      </c>
      <c r="AK31" t="str">
        <f t="shared" si="95"/>
        <v/>
      </c>
      <c r="AL31" t="str">
        <f t="shared" si="96"/>
        <v/>
      </c>
      <c r="AM31" t="str">
        <f t="shared" si="97"/>
        <v/>
      </c>
      <c r="AN31" t="str">
        <f t="shared" si="98"/>
        <v/>
      </c>
      <c r="AO31" t="str">
        <f t="shared" si="99"/>
        <v/>
      </c>
      <c r="AP31" t="str">
        <f t="shared" si="100"/>
        <v/>
      </c>
      <c r="AQ31" t="s">
        <v>1</v>
      </c>
      <c r="AR31" t="str">
        <f t="shared" si="55"/>
        <v>027</v>
      </c>
      <c r="AS31" t="str">
        <f t="shared" si="56"/>
        <v>00</v>
      </c>
      <c r="AT31" t="str">
        <f t="shared" si="56"/>
        <v>00</v>
      </c>
      <c r="AU31" t="str">
        <f t="shared" si="56"/>
        <v>00</v>
      </c>
      <c r="AV31" t="str">
        <f t="shared" si="57"/>
        <v>01</v>
      </c>
      <c r="AW31" t="str">
        <f t="shared" si="58"/>
        <v>04</v>
      </c>
      <c r="AX31" t="str">
        <f t="shared" si="59"/>
        <v>02</v>
      </c>
      <c r="AY31" t="str">
        <f t="shared" si="60"/>
        <v>02</v>
      </c>
      <c r="AZ31" t="str">
        <f t="shared" si="61"/>
        <v>02</v>
      </c>
      <c r="BA31" t="str">
        <f t="shared" si="62"/>
        <v>01</v>
      </c>
      <c r="BB31" t="str">
        <f t="shared" si="63"/>
        <v>00</v>
      </c>
      <c r="BC31" t="str">
        <f t="shared" si="64"/>
        <v>00</v>
      </c>
      <c r="BD31" t="str">
        <f t="shared" si="65"/>
        <v>00</v>
      </c>
      <c r="BE31" t="str">
        <f t="shared" si="66"/>
        <v>00</v>
      </c>
      <c r="BF31" t="str">
        <f t="shared" si="67"/>
        <v>00</v>
      </c>
      <c r="BG31" t="str">
        <f t="shared" si="68"/>
        <v>00</v>
      </c>
      <c r="BH31" t="str">
        <f t="shared" si="69"/>
        <v>00</v>
      </c>
      <c r="BI31" t="str">
        <f t="shared" si="70"/>
        <v>00</v>
      </c>
      <c r="BJ31" t="str">
        <f t="shared" si="71"/>
        <v>00</v>
      </c>
      <c r="BK31" t="str">
        <f t="shared" si="72"/>
        <v>00</v>
      </c>
      <c r="BL31" t="str">
        <f t="shared" si="73"/>
        <v>00</v>
      </c>
      <c r="BM31" t="str">
        <f t="shared" si="74"/>
        <v>00</v>
      </c>
      <c r="BN31" t="str">
        <f t="shared" si="75"/>
        <v>00</v>
      </c>
      <c r="BO31" t="str">
        <f t="shared" si="76"/>
        <v>06</v>
      </c>
      <c r="BP31" t="str">
        <f t="shared" si="77"/>
        <v>0104020202010000000000000000000000000006</v>
      </c>
      <c r="BQ31" t="str">
        <f t="shared" si="80"/>
        <v>Menu04 L06 N027</v>
      </c>
      <c r="BR31" t="str">
        <f t="shared" si="78"/>
        <v>file27</v>
      </c>
      <c r="BS31" t="str">
        <f t="shared" si="79"/>
        <v>027,00,00,00,01,04,02,02,02,01,00,00,00,00,00,00,00,00,00,00,00,00,00,06,0104020202010000000000000000000000000006,Menu04 L06 N027,file27</v>
      </c>
    </row>
    <row r="32" spans="3:71" x14ac:dyDescent="0.25">
      <c r="C32">
        <f t="shared" si="81"/>
        <v>28</v>
      </c>
      <c r="D32">
        <v>1</v>
      </c>
      <c r="E32">
        <v>4</v>
      </c>
      <c r="F32">
        <v>2</v>
      </c>
      <c r="G32">
        <v>2</v>
      </c>
      <c r="H32">
        <v>2</v>
      </c>
      <c r="I32">
        <v>2</v>
      </c>
      <c r="J32">
        <v>0</v>
      </c>
      <c r="W32" t="s">
        <v>1</v>
      </c>
      <c r="X32" t="str">
        <f t="shared" si="82"/>
        <v>|</v>
      </c>
      <c r="Y32" t="str">
        <f t="shared" si="83"/>
        <v>|</v>
      </c>
      <c r="Z32" t="str">
        <f t="shared" si="84"/>
        <v>|</v>
      </c>
      <c r="AA32" t="str">
        <f t="shared" si="85"/>
        <v>|</v>
      </c>
      <c r="AB32" t="str">
        <f t="shared" si="86"/>
        <v>└</v>
      </c>
      <c r="AC32" t="str">
        <f t="shared" si="87"/>
        <v>--</v>
      </c>
      <c r="AD32" t="str">
        <f t="shared" si="88"/>
        <v/>
      </c>
      <c r="AE32" t="str">
        <f t="shared" si="89"/>
        <v/>
      </c>
      <c r="AF32" t="str">
        <f t="shared" si="90"/>
        <v/>
      </c>
      <c r="AG32" t="str">
        <f t="shared" si="91"/>
        <v/>
      </c>
      <c r="AH32" t="str">
        <f t="shared" si="92"/>
        <v/>
      </c>
      <c r="AI32" t="str">
        <f t="shared" si="93"/>
        <v/>
      </c>
      <c r="AJ32" t="str">
        <f t="shared" si="94"/>
        <v/>
      </c>
      <c r="AK32" t="str">
        <f t="shared" si="95"/>
        <v/>
      </c>
      <c r="AL32" t="str">
        <f t="shared" si="96"/>
        <v/>
      </c>
      <c r="AM32" t="str">
        <f t="shared" si="97"/>
        <v/>
      </c>
      <c r="AN32" t="str">
        <f t="shared" si="98"/>
        <v/>
      </c>
      <c r="AO32" t="str">
        <f t="shared" si="99"/>
        <v/>
      </c>
      <c r="AP32" t="str">
        <f t="shared" si="100"/>
        <v/>
      </c>
      <c r="AQ32" t="s">
        <v>1</v>
      </c>
      <c r="AR32" t="str">
        <f t="shared" si="55"/>
        <v>028</v>
      </c>
      <c r="AS32" t="str">
        <f t="shared" si="56"/>
        <v>00</v>
      </c>
      <c r="AT32" t="str">
        <f t="shared" si="56"/>
        <v>00</v>
      </c>
      <c r="AU32" t="str">
        <f t="shared" si="56"/>
        <v>00</v>
      </c>
      <c r="AV32" t="str">
        <f t="shared" si="57"/>
        <v>01</v>
      </c>
      <c r="AW32" t="str">
        <f t="shared" si="58"/>
        <v>04</v>
      </c>
      <c r="AX32" t="str">
        <f t="shared" si="59"/>
        <v>02</v>
      </c>
      <c r="AY32" t="str">
        <f t="shared" si="60"/>
        <v>02</v>
      </c>
      <c r="AZ32" t="str">
        <f t="shared" si="61"/>
        <v>02</v>
      </c>
      <c r="BA32" t="str">
        <f t="shared" si="62"/>
        <v>02</v>
      </c>
      <c r="BB32" t="str">
        <f t="shared" si="63"/>
        <v>00</v>
      </c>
      <c r="BC32" t="str">
        <f t="shared" si="64"/>
        <v>00</v>
      </c>
      <c r="BD32" t="str">
        <f t="shared" si="65"/>
        <v>00</v>
      </c>
      <c r="BE32" t="str">
        <f t="shared" si="66"/>
        <v>00</v>
      </c>
      <c r="BF32" t="str">
        <f t="shared" si="67"/>
        <v>00</v>
      </c>
      <c r="BG32" t="str">
        <f t="shared" si="68"/>
        <v>00</v>
      </c>
      <c r="BH32" t="str">
        <f t="shared" si="69"/>
        <v>00</v>
      </c>
      <c r="BI32" t="str">
        <f t="shared" si="70"/>
        <v>00</v>
      </c>
      <c r="BJ32" t="str">
        <f t="shared" si="71"/>
        <v>00</v>
      </c>
      <c r="BK32" t="str">
        <f t="shared" si="72"/>
        <v>00</v>
      </c>
      <c r="BL32" t="str">
        <f t="shared" si="73"/>
        <v>00</v>
      </c>
      <c r="BM32" t="str">
        <f t="shared" si="74"/>
        <v>00</v>
      </c>
      <c r="BN32" t="str">
        <f t="shared" si="75"/>
        <v>00</v>
      </c>
      <c r="BO32" t="str">
        <f t="shared" si="76"/>
        <v>06</v>
      </c>
      <c r="BP32" t="str">
        <f t="shared" si="77"/>
        <v>0104020202020000000000000000000000000006</v>
      </c>
      <c r="BQ32" t="str">
        <f t="shared" si="80"/>
        <v>Menu04 L06 N028</v>
      </c>
      <c r="BR32" t="str">
        <f t="shared" si="78"/>
        <v>file28</v>
      </c>
      <c r="BS32" t="str">
        <f t="shared" si="79"/>
        <v>028,00,00,00,01,04,02,02,02,02,00,00,00,00,00,00,00,00,00,00,00,00,00,06,0104020202020000000000000000000000000006,Menu04 L06 N028,file28</v>
      </c>
    </row>
    <row r="33" spans="3:71" x14ac:dyDescent="0.25">
      <c r="C33">
        <f t="shared" si="81"/>
        <v>29</v>
      </c>
      <c r="D33">
        <v>1</v>
      </c>
      <c r="E33">
        <f>E31</f>
        <v>4</v>
      </c>
      <c r="F33">
        <f>F31</f>
        <v>2</v>
      </c>
      <c r="G33">
        <f>G31</f>
        <v>2</v>
      </c>
      <c r="H33">
        <f>H31</f>
        <v>2</v>
      </c>
      <c r="I33">
        <v>2</v>
      </c>
      <c r="J33">
        <v>1</v>
      </c>
      <c r="W33" t="s">
        <v>1</v>
      </c>
      <c r="X33" t="str">
        <f t="shared" si="82"/>
        <v>|</v>
      </c>
      <c r="Y33" t="str">
        <f t="shared" si="83"/>
        <v>|</v>
      </c>
      <c r="Z33" t="str">
        <f t="shared" si="84"/>
        <v>|</v>
      </c>
      <c r="AA33" t="str">
        <f t="shared" si="85"/>
        <v>|</v>
      </c>
      <c r="AB33" t="str">
        <f t="shared" si="86"/>
        <v>|</v>
      </c>
      <c r="AC33" t="str">
        <f t="shared" si="87"/>
        <v>└</v>
      </c>
      <c r="AD33" t="str">
        <f t="shared" si="88"/>
        <v>--</v>
      </c>
      <c r="AE33" t="str">
        <f t="shared" si="89"/>
        <v/>
      </c>
      <c r="AF33" t="str">
        <f t="shared" si="90"/>
        <v/>
      </c>
      <c r="AG33" t="str">
        <f t="shared" si="91"/>
        <v/>
      </c>
      <c r="AH33" t="str">
        <f t="shared" si="92"/>
        <v/>
      </c>
      <c r="AI33" t="str">
        <f t="shared" si="93"/>
        <v/>
      </c>
      <c r="AJ33" t="str">
        <f t="shared" si="94"/>
        <v/>
      </c>
      <c r="AK33" t="str">
        <f t="shared" si="95"/>
        <v/>
      </c>
      <c r="AL33" t="str">
        <f t="shared" si="96"/>
        <v/>
      </c>
      <c r="AM33" t="str">
        <f t="shared" si="97"/>
        <v/>
      </c>
      <c r="AN33" t="str">
        <f t="shared" si="98"/>
        <v/>
      </c>
      <c r="AO33" t="str">
        <f t="shared" si="99"/>
        <v/>
      </c>
      <c r="AP33" t="str">
        <f t="shared" si="100"/>
        <v/>
      </c>
      <c r="AQ33" t="s">
        <v>1</v>
      </c>
      <c r="AR33" t="str">
        <f t="shared" si="55"/>
        <v>029</v>
      </c>
      <c r="AS33" t="str">
        <f t="shared" si="56"/>
        <v>00</v>
      </c>
      <c r="AT33" t="str">
        <f t="shared" si="56"/>
        <v>00</v>
      </c>
      <c r="AU33" t="str">
        <f t="shared" si="56"/>
        <v>00</v>
      </c>
      <c r="AV33" t="str">
        <f t="shared" si="57"/>
        <v>01</v>
      </c>
      <c r="AW33" t="str">
        <f t="shared" si="58"/>
        <v>04</v>
      </c>
      <c r="AX33" t="str">
        <f t="shared" si="59"/>
        <v>02</v>
      </c>
      <c r="AY33" t="str">
        <f t="shared" si="60"/>
        <v>02</v>
      </c>
      <c r="AZ33" t="str">
        <f t="shared" si="61"/>
        <v>02</v>
      </c>
      <c r="BA33" t="str">
        <f t="shared" si="62"/>
        <v>02</v>
      </c>
      <c r="BB33" t="str">
        <f t="shared" si="63"/>
        <v>01</v>
      </c>
      <c r="BC33" t="str">
        <f t="shared" si="64"/>
        <v>00</v>
      </c>
      <c r="BD33" t="str">
        <f t="shared" si="65"/>
        <v>00</v>
      </c>
      <c r="BE33" t="str">
        <f t="shared" si="66"/>
        <v>00</v>
      </c>
      <c r="BF33" t="str">
        <f t="shared" si="67"/>
        <v>00</v>
      </c>
      <c r="BG33" t="str">
        <f t="shared" si="68"/>
        <v>00</v>
      </c>
      <c r="BH33" t="str">
        <f t="shared" si="69"/>
        <v>00</v>
      </c>
      <c r="BI33" t="str">
        <f t="shared" si="70"/>
        <v>00</v>
      </c>
      <c r="BJ33" t="str">
        <f t="shared" si="71"/>
        <v>00</v>
      </c>
      <c r="BK33" t="str">
        <f t="shared" si="72"/>
        <v>00</v>
      </c>
      <c r="BL33" t="str">
        <f t="shared" si="73"/>
        <v>00</v>
      </c>
      <c r="BM33" t="str">
        <f t="shared" si="74"/>
        <v>00</v>
      </c>
      <c r="BN33" t="str">
        <f t="shared" si="75"/>
        <v>00</v>
      </c>
      <c r="BO33" t="str">
        <f t="shared" si="76"/>
        <v>07</v>
      </c>
      <c r="BP33" t="str">
        <f t="shared" si="77"/>
        <v>0104020202020100000000000000000000000007</v>
      </c>
      <c r="BQ33" t="str">
        <f t="shared" si="80"/>
        <v>Menu04 L07 N029</v>
      </c>
      <c r="BR33" t="str">
        <f t="shared" si="78"/>
        <v>file29</v>
      </c>
      <c r="BS33" t="str">
        <f t="shared" si="79"/>
        <v>029,00,00,00,01,04,02,02,02,02,01,00,00,00,00,00,00,00,00,00,00,00,00,07,0104020202020100000000000000000000000007,Menu04 L07 N029,file29</v>
      </c>
    </row>
    <row r="34" spans="3:71" x14ac:dyDescent="0.25">
      <c r="C34">
        <f t="shared" si="81"/>
        <v>30</v>
      </c>
      <c r="D34">
        <v>1</v>
      </c>
      <c r="E34">
        <v>4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W34" t="s">
        <v>1</v>
      </c>
      <c r="X34" t="str">
        <f t="shared" si="82"/>
        <v>|</v>
      </c>
      <c r="Y34" t="str">
        <f t="shared" si="83"/>
        <v>|</v>
      </c>
      <c r="Z34" t="str">
        <f t="shared" si="84"/>
        <v>|</v>
      </c>
      <c r="AA34" t="str">
        <f t="shared" si="85"/>
        <v>|</v>
      </c>
      <c r="AB34" t="str">
        <f t="shared" si="86"/>
        <v>|</v>
      </c>
      <c r="AC34" t="str">
        <f t="shared" si="87"/>
        <v>└</v>
      </c>
      <c r="AD34" t="str">
        <f t="shared" si="88"/>
        <v>--</v>
      </c>
      <c r="AE34" t="str">
        <f t="shared" si="89"/>
        <v/>
      </c>
      <c r="AF34" t="str">
        <f t="shared" si="90"/>
        <v/>
      </c>
      <c r="AG34" t="str">
        <f t="shared" si="91"/>
        <v/>
      </c>
      <c r="AH34" t="str">
        <f t="shared" si="92"/>
        <v/>
      </c>
      <c r="AI34" t="str">
        <f t="shared" si="93"/>
        <v/>
      </c>
      <c r="AJ34" t="str">
        <f t="shared" si="94"/>
        <v/>
      </c>
      <c r="AK34" t="str">
        <f t="shared" si="95"/>
        <v/>
      </c>
      <c r="AL34" t="str">
        <f t="shared" si="96"/>
        <v/>
      </c>
      <c r="AM34" t="str">
        <f t="shared" si="97"/>
        <v/>
      </c>
      <c r="AN34" t="str">
        <f t="shared" si="98"/>
        <v/>
      </c>
      <c r="AO34" t="str">
        <f t="shared" si="99"/>
        <v/>
      </c>
      <c r="AP34" t="str">
        <f t="shared" si="100"/>
        <v/>
      </c>
      <c r="AQ34" t="s">
        <v>1</v>
      </c>
      <c r="AR34" t="str">
        <f t="shared" si="55"/>
        <v>030</v>
      </c>
      <c r="AS34" t="str">
        <f t="shared" si="56"/>
        <v>00</v>
      </c>
      <c r="AT34" t="str">
        <f t="shared" si="56"/>
        <v>00</v>
      </c>
      <c r="AU34" t="str">
        <f t="shared" si="56"/>
        <v>00</v>
      </c>
      <c r="AV34" t="str">
        <f t="shared" si="57"/>
        <v>01</v>
      </c>
      <c r="AW34" t="str">
        <f t="shared" si="58"/>
        <v>04</v>
      </c>
      <c r="AX34" t="str">
        <f t="shared" si="59"/>
        <v>02</v>
      </c>
      <c r="AY34" t="str">
        <f t="shared" si="60"/>
        <v>02</v>
      </c>
      <c r="AZ34" t="str">
        <f t="shared" si="61"/>
        <v>02</v>
      </c>
      <c r="BA34" t="str">
        <f t="shared" si="62"/>
        <v>02</v>
      </c>
      <c r="BB34" t="str">
        <f t="shared" si="63"/>
        <v>02</v>
      </c>
      <c r="BC34" t="str">
        <f t="shared" si="64"/>
        <v>00</v>
      </c>
      <c r="BD34" t="str">
        <f t="shared" si="65"/>
        <v>00</v>
      </c>
      <c r="BE34" t="str">
        <f t="shared" si="66"/>
        <v>00</v>
      </c>
      <c r="BF34" t="str">
        <f t="shared" si="67"/>
        <v>00</v>
      </c>
      <c r="BG34" t="str">
        <f t="shared" si="68"/>
        <v>00</v>
      </c>
      <c r="BH34" t="str">
        <f t="shared" si="69"/>
        <v>00</v>
      </c>
      <c r="BI34" t="str">
        <f t="shared" si="70"/>
        <v>00</v>
      </c>
      <c r="BJ34" t="str">
        <f t="shared" si="71"/>
        <v>00</v>
      </c>
      <c r="BK34" t="str">
        <f t="shared" si="72"/>
        <v>00</v>
      </c>
      <c r="BL34" t="str">
        <f t="shared" si="73"/>
        <v>00</v>
      </c>
      <c r="BM34" t="str">
        <f t="shared" si="74"/>
        <v>00</v>
      </c>
      <c r="BN34" t="str">
        <f t="shared" si="75"/>
        <v>00</v>
      </c>
      <c r="BO34" t="str">
        <f t="shared" si="76"/>
        <v>07</v>
      </c>
      <c r="BP34" t="str">
        <f t="shared" si="77"/>
        <v>0104020202020200000000000000000000000007</v>
      </c>
      <c r="BQ34" t="str">
        <f t="shared" si="80"/>
        <v>Menu04 L07 N030</v>
      </c>
      <c r="BR34" t="str">
        <f t="shared" si="78"/>
        <v>file30</v>
      </c>
      <c r="BS34" t="str">
        <f t="shared" si="79"/>
        <v>030,00,00,00,01,04,02,02,02,02,02,00,00,00,00,00,00,00,00,00,00,00,00,07,0104020202020200000000000000000000000007,Menu04 L07 N030,file30</v>
      </c>
    </row>
    <row r="35" spans="3:71" x14ac:dyDescent="0.25">
      <c r="C35">
        <f t="shared" si="81"/>
        <v>31</v>
      </c>
      <c r="D35">
        <v>1</v>
      </c>
      <c r="E35">
        <v>4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0</v>
      </c>
      <c r="W35" t="s">
        <v>1</v>
      </c>
      <c r="X35" t="str">
        <f t="shared" si="82"/>
        <v>|</v>
      </c>
      <c r="Y35" t="str">
        <f t="shared" si="83"/>
        <v>|</v>
      </c>
      <c r="Z35" t="str">
        <f t="shared" si="84"/>
        <v>|</v>
      </c>
      <c r="AA35" t="str">
        <f t="shared" si="85"/>
        <v>|</v>
      </c>
      <c r="AB35" t="str">
        <f t="shared" si="86"/>
        <v>|</v>
      </c>
      <c r="AC35" t="str">
        <f t="shared" si="87"/>
        <v>|</v>
      </c>
      <c r="AD35" t="str">
        <f t="shared" si="88"/>
        <v>└</v>
      </c>
      <c r="AE35" t="str">
        <f t="shared" si="89"/>
        <v>--</v>
      </c>
      <c r="AF35" t="str">
        <f t="shared" si="90"/>
        <v/>
      </c>
      <c r="AG35" t="str">
        <f t="shared" si="91"/>
        <v/>
      </c>
      <c r="AH35" t="str">
        <f t="shared" si="92"/>
        <v/>
      </c>
      <c r="AI35" t="str">
        <f t="shared" si="93"/>
        <v/>
      </c>
      <c r="AJ35" t="str">
        <f t="shared" si="94"/>
        <v/>
      </c>
      <c r="AK35" t="str">
        <f t="shared" si="95"/>
        <v/>
      </c>
      <c r="AL35" t="str">
        <f t="shared" si="96"/>
        <v/>
      </c>
      <c r="AM35" t="str">
        <f t="shared" si="97"/>
        <v/>
      </c>
      <c r="AN35" t="str">
        <f t="shared" si="98"/>
        <v/>
      </c>
      <c r="AO35" t="str">
        <f t="shared" si="99"/>
        <v/>
      </c>
      <c r="AP35" t="str">
        <f t="shared" si="100"/>
        <v/>
      </c>
      <c r="AQ35" t="s">
        <v>1</v>
      </c>
      <c r="AR35" t="str">
        <f t="shared" si="55"/>
        <v>031</v>
      </c>
      <c r="AS35" t="str">
        <f t="shared" si="56"/>
        <v>00</v>
      </c>
      <c r="AT35" t="str">
        <f t="shared" si="56"/>
        <v>00</v>
      </c>
      <c r="AU35" t="str">
        <f t="shared" si="56"/>
        <v>00</v>
      </c>
      <c r="AV35" t="str">
        <f t="shared" si="57"/>
        <v>01</v>
      </c>
      <c r="AW35" t="str">
        <f t="shared" si="58"/>
        <v>04</v>
      </c>
      <c r="AX35" t="str">
        <f t="shared" si="59"/>
        <v>02</v>
      </c>
      <c r="AY35" t="str">
        <f t="shared" si="60"/>
        <v>02</v>
      </c>
      <c r="AZ35" t="str">
        <f t="shared" si="61"/>
        <v>02</v>
      </c>
      <c r="BA35" t="str">
        <f t="shared" si="62"/>
        <v>02</v>
      </c>
      <c r="BB35" t="str">
        <f t="shared" si="63"/>
        <v>02</v>
      </c>
      <c r="BC35" t="str">
        <f t="shared" si="64"/>
        <v>01</v>
      </c>
      <c r="BD35" t="str">
        <f t="shared" si="65"/>
        <v>00</v>
      </c>
      <c r="BE35" t="str">
        <f t="shared" si="66"/>
        <v>00</v>
      </c>
      <c r="BF35" t="str">
        <f t="shared" si="67"/>
        <v>00</v>
      </c>
      <c r="BG35" t="str">
        <f t="shared" si="68"/>
        <v>00</v>
      </c>
      <c r="BH35" t="str">
        <f t="shared" si="69"/>
        <v>00</v>
      </c>
      <c r="BI35" t="str">
        <f t="shared" si="70"/>
        <v>00</v>
      </c>
      <c r="BJ35" t="str">
        <f t="shared" si="71"/>
        <v>00</v>
      </c>
      <c r="BK35" t="str">
        <f t="shared" si="72"/>
        <v>00</v>
      </c>
      <c r="BL35" t="str">
        <f t="shared" si="73"/>
        <v>00</v>
      </c>
      <c r="BM35" t="str">
        <f t="shared" si="74"/>
        <v>00</v>
      </c>
      <c r="BN35" t="str">
        <f t="shared" si="75"/>
        <v>00</v>
      </c>
      <c r="BO35" t="str">
        <f t="shared" si="76"/>
        <v>08</v>
      </c>
      <c r="BP35" t="str">
        <f t="shared" si="77"/>
        <v>0104020202020201000000000000000000000008</v>
      </c>
      <c r="BQ35" t="str">
        <f t="shared" si="80"/>
        <v>Menu04 L08 N031</v>
      </c>
      <c r="BR35" t="str">
        <f t="shared" si="78"/>
        <v>file31</v>
      </c>
      <c r="BS35" t="str">
        <f t="shared" si="79"/>
        <v>031,00,00,00,01,04,02,02,02,02,02,01,00,00,00,00,00,00,00,00,00,00,00,08,0104020202020201000000000000000000000008,Menu04 L08 N031,file31</v>
      </c>
    </row>
    <row r="36" spans="3:71" x14ac:dyDescent="0.25">
      <c r="C36">
        <f t="shared" si="81"/>
        <v>32</v>
      </c>
      <c r="D36">
        <v>1</v>
      </c>
      <c r="E36">
        <v>4</v>
      </c>
      <c r="F36">
        <v>2</v>
      </c>
      <c r="G36">
        <v>2</v>
      </c>
      <c r="H36">
        <v>2</v>
      </c>
      <c r="I36">
        <v>2</v>
      </c>
      <c r="J36">
        <v>2</v>
      </c>
      <c r="K36">
        <v>1</v>
      </c>
      <c r="L36">
        <v>1</v>
      </c>
      <c r="M36">
        <v>0</v>
      </c>
      <c r="W36" t="s">
        <v>1</v>
      </c>
      <c r="X36" t="str">
        <f t="shared" si="82"/>
        <v>|</v>
      </c>
      <c r="Y36" t="str">
        <f t="shared" si="83"/>
        <v>|</v>
      </c>
      <c r="Z36" t="str">
        <f t="shared" si="84"/>
        <v>|</v>
      </c>
      <c r="AA36" t="str">
        <f t="shared" si="85"/>
        <v>|</v>
      </c>
      <c r="AB36" t="str">
        <f t="shared" si="86"/>
        <v>|</v>
      </c>
      <c r="AC36" t="str">
        <f t="shared" si="87"/>
        <v>|</v>
      </c>
      <c r="AD36" t="str">
        <f t="shared" si="88"/>
        <v>|</v>
      </c>
      <c r="AE36" t="str">
        <f t="shared" si="89"/>
        <v>└</v>
      </c>
      <c r="AF36" t="str">
        <f t="shared" si="90"/>
        <v>--</v>
      </c>
      <c r="AG36" t="str">
        <f t="shared" si="91"/>
        <v/>
      </c>
      <c r="AH36" t="str">
        <f t="shared" si="92"/>
        <v/>
      </c>
      <c r="AI36" t="str">
        <f t="shared" si="93"/>
        <v/>
      </c>
      <c r="AJ36" t="str">
        <f t="shared" si="94"/>
        <v/>
      </c>
      <c r="AK36" t="str">
        <f t="shared" si="95"/>
        <v/>
      </c>
      <c r="AL36" t="str">
        <f t="shared" si="96"/>
        <v/>
      </c>
      <c r="AM36" t="str">
        <f t="shared" si="97"/>
        <v/>
      </c>
      <c r="AN36" t="str">
        <f t="shared" si="98"/>
        <v/>
      </c>
      <c r="AO36" t="str">
        <f t="shared" si="99"/>
        <v/>
      </c>
      <c r="AP36" t="str">
        <f t="shared" si="100"/>
        <v/>
      </c>
      <c r="AQ36" t="s">
        <v>1</v>
      </c>
      <c r="AR36" t="str">
        <f t="shared" si="55"/>
        <v>032</v>
      </c>
      <c r="AS36" t="str">
        <f t="shared" si="56"/>
        <v>00</v>
      </c>
      <c r="AT36" t="str">
        <f t="shared" si="56"/>
        <v>00</v>
      </c>
      <c r="AU36" t="str">
        <f t="shared" si="56"/>
        <v>00</v>
      </c>
      <c r="AV36" t="str">
        <f t="shared" si="57"/>
        <v>01</v>
      </c>
      <c r="AW36" t="str">
        <f t="shared" si="58"/>
        <v>04</v>
      </c>
      <c r="AX36" t="str">
        <f t="shared" si="59"/>
        <v>02</v>
      </c>
      <c r="AY36" t="str">
        <f t="shared" si="60"/>
        <v>02</v>
      </c>
      <c r="AZ36" t="str">
        <f t="shared" si="61"/>
        <v>02</v>
      </c>
      <c r="BA36" t="str">
        <f t="shared" si="62"/>
        <v>02</v>
      </c>
      <c r="BB36" t="str">
        <f t="shared" si="63"/>
        <v>02</v>
      </c>
      <c r="BC36" t="str">
        <f t="shared" si="64"/>
        <v>01</v>
      </c>
      <c r="BD36" t="str">
        <f t="shared" si="65"/>
        <v>01</v>
      </c>
      <c r="BE36" t="str">
        <f t="shared" si="66"/>
        <v>00</v>
      </c>
      <c r="BF36" t="str">
        <f t="shared" si="67"/>
        <v>00</v>
      </c>
      <c r="BG36" t="str">
        <f t="shared" si="68"/>
        <v>00</v>
      </c>
      <c r="BH36" t="str">
        <f t="shared" si="69"/>
        <v>00</v>
      </c>
      <c r="BI36" t="str">
        <f t="shared" si="70"/>
        <v>00</v>
      </c>
      <c r="BJ36" t="str">
        <f t="shared" si="71"/>
        <v>00</v>
      </c>
      <c r="BK36" t="str">
        <f t="shared" si="72"/>
        <v>00</v>
      </c>
      <c r="BL36" t="str">
        <f t="shared" si="73"/>
        <v>00</v>
      </c>
      <c r="BM36" t="str">
        <f t="shared" si="74"/>
        <v>00</v>
      </c>
      <c r="BN36" t="str">
        <f t="shared" si="75"/>
        <v>00</v>
      </c>
      <c r="BO36" t="str">
        <f t="shared" si="76"/>
        <v>09</v>
      </c>
      <c r="BP36" t="str">
        <f t="shared" si="77"/>
        <v>0104020202020201010000000000000000000009</v>
      </c>
      <c r="BQ36" t="str">
        <f t="shared" si="80"/>
        <v>Menu04 L09 N032</v>
      </c>
      <c r="BR36" t="str">
        <f t="shared" si="78"/>
        <v>file32</v>
      </c>
      <c r="BS36" t="str">
        <f t="shared" si="79"/>
        <v>032,00,00,00,01,04,02,02,02,02,02,01,01,00,00,00,00,00,00,00,00,00,00,09,0104020202020201010000000000000000000009,Menu04 L09 N032,file32</v>
      </c>
    </row>
    <row r="37" spans="3:71" x14ac:dyDescent="0.25">
      <c r="C37">
        <f t="shared" si="81"/>
        <v>33</v>
      </c>
      <c r="D37">
        <v>1</v>
      </c>
      <c r="E37">
        <f>E33</f>
        <v>4</v>
      </c>
      <c r="F37">
        <f>F33</f>
        <v>2</v>
      </c>
      <c r="G37">
        <f>G33</f>
        <v>2</v>
      </c>
      <c r="H37">
        <f>H33</f>
        <v>2</v>
      </c>
      <c r="I37">
        <f>I33</f>
        <v>2</v>
      </c>
      <c r="J37">
        <v>2</v>
      </c>
      <c r="K37">
        <v>1</v>
      </c>
      <c r="L37">
        <v>1</v>
      </c>
      <c r="M37">
        <v>1</v>
      </c>
      <c r="W37" t="s">
        <v>1</v>
      </c>
      <c r="X37" t="str">
        <f t="shared" si="82"/>
        <v>|</v>
      </c>
      <c r="Y37" t="str">
        <f t="shared" si="83"/>
        <v>|</v>
      </c>
      <c r="Z37" t="str">
        <f t="shared" si="84"/>
        <v>|</v>
      </c>
      <c r="AA37" t="str">
        <f t="shared" si="85"/>
        <v>|</v>
      </c>
      <c r="AB37" t="str">
        <f t="shared" si="86"/>
        <v>|</v>
      </c>
      <c r="AC37" t="str">
        <f t="shared" si="87"/>
        <v>|</v>
      </c>
      <c r="AD37" t="str">
        <f t="shared" si="88"/>
        <v>|</v>
      </c>
      <c r="AE37" t="str">
        <f t="shared" si="89"/>
        <v>|</v>
      </c>
      <c r="AF37" t="str">
        <f t="shared" si="90"/>
        <v>└</v>
      </c>
      <c r="AG37" t="str">
        <f t="shared" si="91"/>
        <v>--</v>
      </c>
      <c r="AH37" t="str">
        <f t="shared" si="92"/>
        <v/>
      </c>
      <c r="AI37" t="str">
        <f t="shared" si="93"/>
        <v/>
      </c>
      <c r="AJ37" t="str">
        <f t="shared" si="94"/>
        <v/>
      </c>
      <c r="AK37" t="str">
        <f t="shared" si="95"/>
        <v/>
      </c>
      <c r="AL37" t="str">
        <f t="shared" si="96"/>
        <v/>
      </c>
      <c r="AM37" t="str">
        <f t="shared" si="97"/>
        <v/>
      </c>
      <c r="AN37" t="str">
        <f t="shared" si="98"/>
        <v/>
      </c>
      <c r="AO37" t="str">
        <f t="shared" si="99"/>
        <v/>
      </c>
      <c r="AP37" t="str">
        <f t="shared" si="100"/>
        <v/>
      </c>
      <c r="AQ37" t="s">
        <v>1</v>
      </c>
      <c r="AR37" t="str">
        <f t="shared" si="55"/>
        <v>033</v>
      </c>
      <c r="AS37" t="str">
        <f t="shared" si="56"/>
        <v>00</v>
      </c>
      <c r="AT37" t="str">
        <f t="shared" si="56"/>
        <v>00</v>
      </c>
      <c r="AU37" t="str">
        <f t="shared" si="56"/>
        <v>00</v>
      </c>
      <c r="AV37" t="str">
        <f t="shared" si="57"/>
        <v>01</v>
      </c>
      <c r="AW37" t="str">
        <f t="shared" si="58"/>
        <v>04</v>
      </c>
      <c r="AX37" t="str">
        <f t="shared" si="59"/>
        <v>02</v>
      </c>
      <c r="AY37" t="str">
        <f t="shared" si="60"/>
        <v>02</v>
      </c>
      <c r="AZ37" t="str">
        <f t="shared" si="61"/>
        <v>02</v>
      </c>
      <c r="BA37" t="str">
        <f t="shared" si="62"/>
        <v>02</v>
      </c>
      <c r="BB37" t="str">
        <f t="shared" si="63"/>
        <v>02</v>
      </c>
      <c r="BC37" t="str">
        <f t="shared" si="64"/>
        <v>01</v>
      </c>
      <c r="BD37" t="str">
        <f t="shared" si="65"/>
        <v>01</v>
      </c>
      <c r="BE37" t="str">
        <f t="shared" si="66"/>
        <v>01</v>
      </c>
      <c r="BF37" t="str">
        <f t="shared" si="67"/>
        <v>00</v>
      </c>
      <c r="BG37" t="str">
        <f t="shared" si="68"/>
        <v>00</v>
      </c>
      <c r="BH37" t="str">
        <f t="shared" si="69"/>
        <v>00</v>
      </c>
      <c r="BI37" t="str">
        <f t="shared" si="70"/>
        <v>00</v>
      </c>
      <c r="BJ37" t="str">
        <f t="shared" si="71"/>
        <v>00</v>
      </c>
      <c r="BK37" t="str">
        <f t="shared" si="72"/>
        <v>00</v>
      </c>
      <c r="BL37" t="str">
        <f t="shared" si="73"/>
        <v>00</v>
      </c>
      <c r="BM37" t="str">
        <f t="shared" si="74"/>
        <v>00</v>
      </c>
      <c r="BN37" t="str">
        <f t="shared" si="75"/>
        <v>00</v>
      </c>
      <c r="BO37" t="str">
        <f t="shared" si="76"/>
        <v>10</v>
      </c>
      <c r="BP37" t="str">
        <f t="shared" si="77"/>
        <v>0104020202020201010100000000000000000010</v>
      </c>
      <c r="BQ37" t="str">
        <f t="shared" si="80"/>
        <v>Menu04 L10 N033</v>
      </c>
      <c r="BR37" t="str">
        <f t="shared" si="78"/>
        <v>file33</v>
      </c>
      <c r="BS37" t="str">
        <f t="shared" si="79"/>
        <v>033,00,00,00,01,04,02,02,02,02,02,01,01,01,00,00,00,00,00,00,00,00,00,10,0104020202020201010100000000000000000010,Menu04 L10 N033,file33</v>
      </c>
    </row>
    <row r="38" spans="3:71" x14ac:dyDescent="0.25">
      <c r="C38">
        <f t="shared" si="81"/>
        <v>34</v>
      </c>
      <c r="D38">
        <v>1</v>
      </c>
      <c r="E38">
        <f t="shared" ref="E38:E84" si="101">E37</f>
        <v>4</v>
      </c>
      <c r="F38">
        <f t="shared" ref="F38:F75" si="102">F37</f>
        <v>2</v>
      </c>
      <c r="G38">
        <f t="shared" ref="G38:G69" si="103">G37</f>
        <v>2</v>
      </c>
      <c r="H38">
        <f t="shared" ref="H38:H62" si="104">H37</f>
        <v>2</v>
      </c>
      <c r="I38">
        <f t="shared" ref="I38:I61" si="105">I37</f>
        <v>2</v>
      </c>
      <c r="J38">
        <f>J37</f>
        <v>2</v>
      </c>
      <c r="K38">
        <f>K37</f>
        <v>1</v>
      </c>
      <c r="L38">
        <f>L37</f>
        <v>1</v>
      </c>
      <c r="M38">
        <v>2</v>
      </c>
      <c r="W38" t="s">
        <v>1</v>
      </c>
      <c r="X38" t="str">
        <f t="shared" si="82"/>
        <v>|</v>
      </c>
      <c r="Y38" t="str">
        <f t="shared" si="83"/>
        <v>|</v>
      </c>
      <c r="Z38" t="str">
        <f t="shared" si="84"/>
        <v>|</v>
      </c>
      <c r="AA38" t="str">
        <f t="shared" si="85"/>
        <v>|</v>
      </c>
      <c r="AB38" t="str">
        <f t="shared" si="86"/>
        <v>|</v>
      </c>
      <c r="AC38" t="str">
        <f t="shared" si="87"/>
        <v>|</v>
      </c>
      <c r="AD38" t="str">
        <f t="shared" si="88"/>
        <v>|</v>
      </c>
      <c r="AE38" t="str">
        <f t="shared" si="89"/>
        <v>|</v>
      </c>
      <c r="AF38" t="str">
        <f t="shared" si="90"/>
        <v>└</v>
      </c>
      <c r="AG38" t="str">
        <f t="shared" si="91"/>
        <v>--</v>
      </c>
      <c r="AH38" t="str">
        <f t="shared" si="92"/>
        <v/>
      </c>
      <c r="AI38" t="str">
        <f t="shared" si="93"/>
        <v/>
      </c>
      <c r="AJ38" t="str">
        <f t="shared" si="94"/>
        <v/>
      </c>
      <c r="AK38" t="str">
        <f t="shared" si="95"/>
        <v/>
      </c>
      <c r="AL38" t="str">
        <f t="shared" si="96"/>
        <v/>
      </c>
      <c r="AM38" t="str">
        <f t="shared" si="97"/>
        <v/>
      </c>
      <c r="AN38" t="str">
        <f t="shared" si="98"/>
        <v/>
      </c>
      <c r="AO38" t="str">
        <f t="shared" si="99"/>
        <v/>
      </c>
      <c r="AP38" t="str">
        <f t="shared" si="100"/>
        <v/>
      </c>
      <c r="AQ38" t="s">
        <v>1</v>
      </c>
      <c r="AR38" t="str">
        <f t="shared" si="55"/>
        <v>034</v>
      </c>
      <c r="AS38" t="str">
        <f t="shared" ref="AS38:AU69" si="106">TEXT(0,"00")</f>
        <v>00</v>
      </c>
      <c r="AT38" t="str">
        <f t="shared" si="106"/>
        <v>00</v>
      </c>
      <c r="AU38" t="str">
        <f t="shared" si="106"/>
        <v>00</v>
      </c>
      <c r="AV38" t="str">
        <f t="shared" si="57"/>
        <v>01</v>
      </c>
      <c r="AW38" t="str">
        <f t="shared" si="58"/>
        <v>04</v>
      </c>
      <c r="AX38" t="str">
        <f t="shared" si="59"/>
        <v>02</v>
      </c>
      <c r="AY38" t="str">
        <f t="shared" si="60"/>
        <v>02</v>
      </c>
      <c r="AZ38" t="str">
        <f t="shared" si="61"/>
        <v>02</v>
      </c>
      <c r="BA38" t="str">
        <f t="shared" si="62"/>
        <v>02</v>
      </c>
      <c r="BB38" t="str">
        <f t="shared" si="63"/>
        <v>02</v>
      </c>
      <c r="BC38" t="str">
        <f t="shared" si="64"/>
        <v>01</v>
      </c>
      <c r="BD38" t="str">
        <f t="shared" si="65"/>
        <v>01</v>
      </c>
      <c r="BE38" t="str">
        <f t="shared" si="66"/>
        <v>02</v>
      </c>
      <c r="BF38" t="str">
        <f t="shared" si="67"/>
        <v>00</v>
      </c>
      <c r="BG38" t="str">
        <f t="shared" si="68"/>
        <v>00</v>
      </c>
      <c r="BH38" t="str">
        <f t="shared" si="69"/>
        <v>00</v>
      </c>
      <c r="BI38" t="str">
        <f t="shared" si="70"/>
        <v>00</v>
      </c>
      <c r="BJ38" t="str">
        <f t="shared" si="71"/>
        <v>00</v>
      </c>
      <c r="BK38" t="str">
        <f t="shared" si="72"/>
        <v>00</v>
      </c>
      <c r="BL38" t="str">
        <f t="shared" si="73"/>
        <v>00</v>
      </c>
      <c r="BM38" t="str">
        <f t="shared" si="74"/>
        <v>00</v>
      </c>
      <c r="BN38" t="str">
        <f t="shared" si="75"/>
        <v>00</v>
      </c>
      <c r="BO38" t="str">
        <f t="shared" si="76"/>
        <v>10</v>
      </c>
      <c r="BP38" t="str">
        <f t="shared" si="77"/>
        <v>0104020202020201010200000000000000000010</v>
      </c>
      <c r="BQ38" t="str">
        <f t="shared" si="80"/>
        <v>Menu04 L10 N034</v>
      </c>
      <c r="BR38" t="str">
        <f t="shared" ref="BR38:BR69" si="107">"file"&amp;C38</f>
        <v>file34</v>
      </c>
      <c r="BS38" t="str">
        <f t="shared" si="79"/>
        <v>034,00,00,00,01,04,02,02,02,02,02,01,01,02,00,00,00,00,00,00,00,00,00,10,0104020202020201010200000000000000000010,Menu04 L10 N034,file34</v>
      </c>
    </row>
    <row r="39" spans="3:71" x14ac:dyDescent="0.25">
      <c r="C39">
        <f t="shared" si="81"/>
        <v>35</v>
      </c>
      <c r="D39">
        <v>1</v>
      </c>
      <c r="E39">
        <v>4</v>
      </c>
      <c r="F39">
        <v>2</v>
      </c>
      <c r="G39">
        <v>2</v>
      </c>
      <c r="H39">
        <v>2</v>
      </c>
      <c r="I39">
        <v>2</v>
      </c>
      <c r="J39">
        <v>2</v>
      </c>
      <c r="K39">
        <v>1</v>
      </c>
      <c r="L39">
        <v>1</v>
      </c>
      <c r="M39">
        <v>3</v>
      </c>
      <c r="N39">
        <v>0</v>
      </c>
      <c r="W39" t="s">
        <v>1</v>
      </c>
      <c r="X39" t="str">
        <f t="shared" si="82"/>
        <v>|</v>
      </c>
      <c r="Y39" t="str">
        <f t="shared" si="83"/>
        <v>|</v>
      </c>
      <c r="Z39" t="str">
        <f t="shared" si="84"/>
        <v>|</v>
      </c>
      <c r="AA39" t="str">
        <f t="shared" si="85"/>
        <v>|</v>
      </c>
      <c r="AB39" t="str">
        <f t="shared" si="86"/>
        <v>|</v>
      </c>
      <c r="AC39" t="str">
        <f t="shared" si="87"/>
        <v>|</v>
      </c>
      <c r="AD39" t="str">
        <f t="shared" si="88"/>
        <v>|</v>
      </c>
      <c r="AE39" t="str">
        <f t="shared" si="89"/>
        <v>|</v>
      </c>
      <c r="AF39" t="str">
        <f t="shared" si="90"/>
        <v>└</v>
      </c>
      <c r="AG39" t="str">
        <f t="shared" si="91"/>
        <v>--</v>
      </c>
      <c r="AH39" t="str">
        <f t="shared" si="92"/>
        <v/>
      </c>
      <c r="AI39" t="str">
        <f t="shared" si="93"/>
        <v/>
      </c>
      <c r="AJ39" t="str">
        <f t="shared" si="94"/>
        <v/>
      </c>
      <c r="AK39" t="str">
        <f t="shared" si="95"/>
        <v/>
      </c>
      <c r="AL39" t="str">
        <f t="shared" si="96"/>
        <v/>
      </c>
      <c r="AM39" t="str">
        <f t="shared" si="97"/>
        <v/>
      </c>
      <c r="AN39" t="str">
        <f t="shared" si="98"/>
        <v/>
      </c>
      <c r="AO39" t="str">
        <f t="shared" si="99"/>
        <v/>
      </c>
      <c r="AP39" t="str">
        <f t="shared" si="100"/>
        <v/>
      </c>
      <c r="AQ39" t="s">
        <v>1</v>
      </c>
      <c r="AR39" t="str">
        <f t="shared" si="55"/>
        <v>035</v>
      </c>
      <c r="AS39" t="str">
        <f t="shared" si="106"/>
        <v>00</v>
      </c>
      <c r="AT39" t="str">
        <f t="shared" si="106"/>
        <v>00</v>
      </c>
      <c r="AU39" t="str">
        <f t="shared" si="106"/>
        <v>00</v>
      </c>
      <c r="AV39" t="str">
        <f t="shared" si="57"/>
        <v>01</v>
      </c>
      <c r="AW39" t="str">
        <f t="shared" si="58"/>
        <v>04</v>
      </c>
      <c r="AX39" t="str">
        <f t="shared" si="59"/>
        <v>02</v>
      </c>
      <c r="AY39" t="str">
        <f t="shared" si="60"/>
        <v>02</v>
      </c>
      <c r="AZ39" t="str">
        <f t="shared" si="61"/>
        <v>02</v>
      </c>
      <c r="BA39" t="str">
        <f t="shared" si="62"/>
        <v>02</v>
      </c>
      <c r="BB39" t="str">
        <f t="shared" si="63"/>
        <v>02</v>
      </c>
      <c r="BC39" t="str">
        <f t="shared" si="64"/>
        <v>01</v>
      </c>
      <c r="BD39" t="str">
        <f t="shared" si="65"/>
        <v>01</v>
      </c>
      <c r="BE39" t="str">
        <f t="shared" si="66"/>
        <v>03</v>
      </c>
      <c r="BF39" t="str">
        <f t="shared" si="67"/>
        <v>00</v>
      </c>
      <c r="BG39" t="str">
        <f t="shared" si="68"/>
        <v>00</v>
      </c>
      <c r="BH39" t="str">
        <f t="shared" si="69"/>
        <v>00</v>
      </c>
      <c r="BI39" t="str">
        <f t="shared" si="70"/>
        <v>00</v>
      </c>
      <c r="BJ39" t="str">
        <f t="shared" si="71"/>
        <v>00</v>
      </c>
      <c r="BK39" t="str">
        <f t="shared" si="72"/>
        <v>00</v>
      </c>
      <c r="BL39" t="str">
        <f t="shared" si="73"/>
        <v>00</v>
      </c>
      <c r="BM39" t="str">
        <f t="shared" si="74"/>
        <v>00</v>
      </c>
      <c r="BN39" t="str">
        <f t="shared" si="75"/>
        <v>00</v>
      </c>
      <c r="BO39" t="str">
        <f t="shared" si="76"/>
        <v>10</v>
      </c>
      <c r="BP39" t="str">
        <f t="shared" si="77"/>
        <v>0104020202020201010300000000000000000010</v>
      </c>
      <c r="BQ39" t="str">
        <f t="shared" si="80"/>
        <v>Menu04 L10 N035</v>
      </c>
      <c r="BR39" t="str">
        <f t="shared" si="107"/>
        <v>file35</v>
      </c>
      <c r="BS39" t="str">
        <f t="shared" si="79"/>
        <v>035,00,00,00,01,04,02,02,02,02,02,01,01,03,00,00,00,00,00,00,00,00,00,10,0104020202020201010300000000000000000010,Menu04 L10 N035,file35</v>
      </c>
    </row>
    <row r="40" spans="3:71" x14ac:dyDescent="0.25">
      <c r="C40">
        <f t="shared" si="81"/>
        <v>36</v>
      </c>
      <c r="D40">
        <v>1</v>
      </c>
      <c r="E40">
        <f t="shared" ref="E40:L40" si="108">E38</f>
        <v>4</v>
      </c>
      <c r="F40">
        <f t="shared" si="108"/>
        <v>2</v>
      </c>
      <c r="G40">
        <f t="shared" si="108"/>
        <v>2</v>
      </c>
      <c r="H40">
        <f t="shared" si="108"/>
        <v>2</v>
      </c>
      <c r="I40">
        <f t="shared" si="108"/>
        <v>2</v>
      </c>
      <c r="J40">
        <f t="shared" si="108"/>
        <v>2</v>
      </c>
      <c r="K40">
        <f t="shared" si="108"/>
        <v>1</v>
      </c>
      <c r="L40">
        <f t="shared" si="108"/>
        <v>1</v>
      </c>
      <c r="M40">
        <v>3</v>
      </c>
      <c r="N40">
        <v>1</v>
      </c>
      <c r="W40" t="s">
        <v>1</v>
      </c>
      <c r="X40" t="str">
        <f t="shared" si="82"/>
        <v>|</v>
      </c>
      <c r="Y40" t="str">
        <f t="shared" si="83"/>
        <v>|</v>
      </c>
      <c r="Z40" t="str">
        <f t="shared" si="84"/>
        <v>|</v>
      </c>
      <c r="AA40" t="str">
        <f t="shared" si="85"/>
        <v>|</v>
      </c>
      <c r="AB40" t="str">
        <f t="shared" si="86"/>
        <v>|</v>
      </c>
      <c r="AC40" t="str">
        <f t="shared" si="87"/>
        <v>|</v>
      </c>
      <c r="AD40" t="str">
        <f t="shared" si="88"/>
        <v>|</v>
      </c>
      <c r="AE40" t="str">
        <f t="shared" si="89"/>
        <v>|</v>
      </c>
      <c r="AF40" t="str">
        <f t="shared" si="90"/>
        <v>|</v>
      </c>
      <c r="AG40" t="str">
        <f t="shared" si="91"/>
        <v>└</v>
      </c>
      <c r="AH40" t="str">
        <f t="shared" si="92"/>
        <v>--</v>
      </c>
      <c r="AI40" t="str">
        <f t="shared" si="93"/>
        <v/>
      </c>
      <c r="AJ40" t="str">
        <f t="shared" si="94"/>
        <v/>
      </c>
      <c r="AK40" t="str">
        <f t="shared" si="95"/>
        <v/>
      </c>
      <c r="AL40" t="str">
        <f t="shared" si="96"/>
        <v/>
      </c>
      <c r="AM40" t="str">
        <f t="shared" si="97"/>
        <v/>
      </c>
      <c r="AN40" t="str">
        <f t="shared" si="98"/>
        <v/>
      </c>
      <c r="AO40" t="str">
        <f t="shared" si="99"/>
        <v/>
      </c>
      <c r="AP40" t="str">
        <f t="shared" si="100"/>
        <v/>
      </c>
      <c r="AQ40" t="s">
        <v>1</v>
      </c>
      <c r="AR40" t="str">
        <f t="shared" si="55"/>
        <v>036</v>
      </c>
      <c r="AS40" t="str">
        <f t="shared" si="106"/>
        <v>00</v>
      </c>
      <c r="AT40" t="str">
        <f t="shared" si="106"/>
        <v>00</v>
      </c>
      <c r="AU40" t="str">
        <f t="shared" si="106"/>
        <v>00</v>
      </c>
      <c r="AV40" t="str">
        <f t="shared" si="57"/>
        <v>01</v>
      </c>
      <c r="AW40" t="str">
        <f t="shared" si="58"/>
        <v>04</v>
      </c>
      <c r="AX40" t="str">
        <f t="shared" si="59"/>
        <v>02</v>
      </c>
      <c r="AY40" t="str">
        <f t="shared" si="60"/>
        <v>02</v>
      </c>
      <c r="AZ40" t="str">
        <f t="shared" si="61"/>
        <v>02</v>
      </c>
      <c r="BA40" t="str">
        <f t="shared" si="62"/>
        <v>02</v>
      </c>
      <c r="BB40" t="str">
        <f t="shared" si="63"/>
        <v>02</v>
      </c>
      <c r="BC40" t="str">
        <f t="shared" si="64"/>
        <v>01</v>
      </c>
      <c r="BD40" t="str">
        <f t="shared" si="65"/>
        <v>01</v>
      </c>
      <c r="BE40" t="str">
        <f t="shared" si="66"/>
        <v>03</v>
      </c>
      <c r="BF40" t="str">
        <f t="shared" si="67"/>
        <v>01</v>
      </c>
      <c r="BG40" t="str">
        <f t="shared" si="68"/>
        <v>00</v>
      </c>
      <c r="BH40" t="str">
        <f t="shared" si="69"/>
        <v>00</v>
      </c>
      <c r="BI40" t="str">
        <f t="shared" si="70"/>
        <v>00</v>
      </c>
      <c r="BJ40" t="str">
        <f t="shared" si="71"/>
        <v>00</v>
      </c>
      <c r="BK40" t="str">
        <f t="shared" si="72"/>
        <v>00</v>
      </c>
      <c r="BL40" t="str">
        <f t="shared" si="73"/>
        <v>00</v>
      </c>
      <c r="BM40" t="str">
        <f t="shared" si="74"/>
        <v>00</v>
      </c>
      <c r="BN40" t="str">
        <f t="shared" si="75"/>
        <v>00</v>
      </c>
      <c r="BO40" t="str">
        <f t="shared" si="76"/>
        <v>11</v>
      </c>
      <c r="BP40" t="str">
        <f t="shared" si="77"/>
        <v>0104020202020201010301000000000000000011</v>
      </c>
      <c r="BQ40" t="str">
        <f t="shared" si="80"/>
        <v>Menu04 L11 N036</v>
      </c>
      <c r="BR40" t="str">
        <f t="shared" si="107"/>
        <v>file36</v>
      </c>
      <c r="BS40" t="str">
        <f t="shared" si="79"/>
        <v>036,00,00,00,01,04,02,02,02,02,02,01,01,03,01,00,00,00,00,00,00,00,00,11,0104020202020201010301000000000000000011,Menu04 L11 N036,file36</v>
      </c>
    </row>
    <row r="41" spans="3:71" x14ac:dyDescent="0.25">
      <c r="C41">
        <f t="shared" si="81"/>
        <v>37</v>
      </c>
      <c r="D41">
        <v>1</v>
      </c>
      <c r="E41">
        <v>4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1</v>
      </c>
      <c r="M41">
        <v>3</v>
      </c>
      <c r="N41">
        <v>2</v>
      </c>
      <c r="O41">
        <v>0</v>
      </c>
      <c r="W41" t="s">
        <v>1</v>
      </c>
      <c r="X41" t="str">
        <f t="shared" si="82"/>
        <v>|</v>
      </c>
      <c r="Y41" t="str">
        <f t="shared" si="83"/>
        <v>|</v>
      </c>
      <c r="Z41" t="str">
        <f t="shared" si="84"/>
        <v>|</v>
      </c>
      <c r="AA41" t="str">
        <f t="shared" si="85"/>
        <v>|</v>
      </c>
      <c r="AB41" t="str">
        <f t="shared" si="86"/>
        <v>|</v>
      </c>
      <c r="AC41" t="str">
        <f t="shared" si="87"/>
        <v>|</v>
      </c>
      <c r="AD41" t="str">
        <f t="shared" si="88"/>
        <v>|</v>
      </c>
      <c r="AE41" t="str">
        <f t="shared" si="89"/>
        <v>|</v>
      </c>
      <c r="AF41" t="str">
        <f t="shared" si="90"/>
        <v>|</v>
      </c>
      <c r="AG41" t="str">
        <f t="shared" si="91"/>
        <v>└</v>
      </c>
      <c r="AH41" t="str">
        <f t="shared" si="92"/>
        <v>--</v>
      </c>
      <c r="AI41" t="str">
        <f t="shared" si="93"/>
        <v/>
      </c>
      <c r="AJ41" t="str">
        <f t="shared" si="94"/>
        <v/>
      </c>
      <c r="AK41" t="str">
        <f t="shared" si="95"/>
        <v/>
      </c>
      <c r="AL41" t="str">
        <f t="shared" si="96"/>
        <v/>
      </c>
      <c r="AM41" t="str">
        <f t="shared" si="97"/>
        <v/>
      </c>
      <c r="AN41" t="str">
        <f t="shared" si="98"/>
        <v/>
      </c>
      <c r="AO41" t="str">
        <f t="shared" si="99"/>
        <v/>
      </c>
      <c r="AP41" t="str">
        <f t="shared" si="100"/>
        <v/>
      </c>
      <c r="AQ41" t="s">
        <v>1</v>
      </c>
      <c r="AR41" t="str">
        <f t="shared" si="55"/>
        <v>037</v>
      </c>
      <c r="AS41" t="str">
        <f t="shared" si="106"/>
        <v>00</v>
      </c>
      <c r="AT41" t="str">
        <f t="shared" si="106"/>
        <v>00</v>
      </c>
      <c r="AU41" t="str">
        <f t="shared" si="106"/>
        <v>00</v>
      </c>
      <c r="AV41" t="str">
        <f t="shared" si="57"/>
        <v>01</v>
      </c>
      <c r="AW41" t="str">
        <f t="shared" si="58"/>
        <v>04</v>
      </c>
      <c r="AX41" t="str">
        <f t="shared" si="59"/>
        <v>02</v>
      </c>
      <c r="AY41" t="str">
        <f t="shared" si="60"/>
        <v>02</v>
      </c>
      <c r="AZ41" t="str">
        <f t="shared" si="61"/>
        <v>02</v>
      </c>
      <c r="BA41" t="str">
        <f t="shared" si="62"/>
        <v>02</v>
      </c>
      <c r="BB41" t="str">
        <f t="shared" si="63"/>
        <v>02</v>
      </c>
      <c r="BC41" t="str">
        <f t="shared" si="64"/>
        <v>01</v>
      </c>
      <c r="BD41" t="str">
        <f t="shared" si="65"/>
        <v>01</v>
      </c>
      <c r="BE41" t="str">
        <f t="shared" si="66"/>
        <v>03</v>
      </c>
      <c r="BF41" t="str">
        <f t="shared" si="67"/>
        <v>02</v>
      </c>
      <c r="BG41" t="str">
        <f t="shared" si="68"/>
        <v>00</v>
      </c>
      <c r="BH41" t="str">
        <f t="shared" si="69"/>
        <v>00</v>
      </c>
      <c r="BI41" t="str">
        <f t="shared" si="70"/>
        <v>00</v>
      </c>
      <c r="BJ41" t="str">
        <f t="shared" si="71"/>
        <v>00</v>
      </c>
      <c r="BK41" t="str">
        <f t="shared" si="72"/>
        <v>00</v>
      </c>
      <c r="BL41" t="str">
        <f t="shared" si="73"/>
        <v>00</v>
      </c>
      <c r="BM41" t="str">
        <f t="shared" si="74"/>
        <v>00</v>
      </c>
      <c r="BN41" t="str">
        <f t="shared" si="75"/>
        <v>00</v>
      </c>
      <c r="BO41" t="str">
        <f t="shared" si="76"/>
        <v>11</v>
      </c>
      <c r="BP41" t="str">
        <f t="shared" si="77"/>
        <v>0104020202020201010302000000000000000011</v>
      </c>
      <c r="BQ41" t="str">
        <f t="shared" si="80"/>
        <v>Menu04 L11 N037</v>
      </c>
      <c r="BR41" t="str">
        <f t="shared" si="107"/>
        <v>file37</v>
      </c>
      <c r="BS41" t="str">
        <f t="shared" si="79"/>
        <v>037,00,00,00,01,04,02,02,02,02,02,01,01,03,02,00,00,00,00,00,00,00,00,11,0104020202020201010302000000000000000011,Menu04 L11 N037,file37</v>
      </c>
    </row>
    <row r="42" spans="3:71" x14ac:dyDescent="0.25">
      <c r="C42">
        <f t="shared" si="81"/>
        <v>38</v>
      </c>
      <c r="D42">
        <v>1</v>
      </c>
      <c r="E42">
        <f t="shared" ref="E42:M42" si="109">E40</f>
        <v>4</v>
      </c>
      <c r="F42">
        <f t="shared" si="109"/>
        <v>2</v>
      </c>
      <c r="G42">
        <f t="shared" si="109"/>
        <v>2</v>
      </c>
      <c r="H42">
        <f t="shared" si="109"/>
        <v>2</v>
      </c>
      <c r="I42">
        <f t="shared" si="109"/>
        <v>2</v>
      </c>
      <c r="J42">
        <f t="shared" si="109"/>
        <v>2</v>
      </c>
      <c r="K42">
        <f t="shared" si="109"/>
        <v>1</v>
      </c>
      <c r="L42">
        <f t="shared" si="109"/>
        <v>1</v>
      </c>
      <c r="M42">
        <f t="shared" si="109"/>
        <v>3</v>
      </c>
      <c r="N42">
        <v>2</v>
      </c>
      <c r="O42">
        <v>1</v>
      </c>
      <c r="W42" t="s">
        <v>1</v>
      </c>
      <c r="X42" t="str">
        <f t="shared" si="82"/>
        <v>|</v>
      </c>
      <c r="Y42" t="str">
        <f t="shared" si="83"/>
        <v>|</v>
      </c>
      <c r="Z42" t="str">
        <f t="shared" si="84"/>
        <v>|</v>
      </c>
      <c r="AA42" t="str">
        <f t="shared" si="85"/>
        <v>|</v>
      </c>
      <c r="AB42" t="str">
        <f t="shared" si="86"/>
        <v>|</v>
      </c>
      <c r="AC42" t="str">
        <f t="shared" si="87"/>
        <v>|</v>
      </c>
      <c r="AD42" t="str">
        <f t="shared" si="88"/>
        <v>|</v>
      </c>
      <c r="AE42" t="str">
        <f t="shared" si="89"/>
        <v>|</v>
      </c>
      <c r="AF42" t="str">
        <f t="shared" si="90"/>
        <v>|</v>
      </c>
      <c r="AG42" t="str">
        <f t="shared" si="91"/>
        <v>|</v>
      </c>
      <c r="AH42" t="str">
        <f t="shared" si="92"/>
        <v>└</v>
      </c>
      <c r="AI42" t="str">
        <f t="shared" si="93"/>
        <v>--</v>
      </c>
      <c r="AJ42" t="str">
        <f t="shared" si="94"/>
        <v/>
      </c>
      <c r="AK42" t="str">
        <f t="shared" si="95"/>
        <v/>
      </c>
      <c r="AL42" t="str">
        <f t="shared" si="96"/>
        <v/>
      </c>
      <c r="AM42" t="str">
        <f t="shared" si="97"/>
        <v/>
      </c>
      <c r="AN42" t="str">
        <f t="shared" si="98"/>
        <v/>
      </c>
      <c r="AO42" t="str">
        <f t="shared" si="99"/>
        <v/>
      </c>
      <c r="AP42" t="str">
        <f t="shared" si="100"/>
        <v/>
      </c>
      <c r="AQ42" t="s">
        <v>1</v>
      </c>
      <c r="AR42" t="str">
        <f t="shared" si="55"/>
        <v>038</v>
      </c>
      <c r="AS42" t="str">
        <f t="shared" si="106"/>
        <v>00</v>
      </c>
      <c r="AT42" t="str">
        <f t="shared" si="106"/>
        <v>00</v>
      </c>
      <c r="AU42" t="str">
        <f t="shared" si="106"/>
        <v>00</v>
      </c>
      <c r="AV42" t="str">
        <f t="shared" si="57"/>
        <v>01</v>
      </c>
      <c r="AW42" t="str">
        <f t="shared" si="58"/>
        <v>04</v>
      </c>
      <c r="AX42" t="str">
        <f t="shared" si="59"/>
        <v>02</v>
      </c>
      <c r="AY42" t="str">
        <f t="shared" si="60"/>
        <v>02</v>
      </c>
      <c r="AZ42" t="str">
        <f t="shared" si="61"/>
        <v>02</v>
      </c>
      <c r="BA42" t="str">
        <f t="shared" si="62"/>
        <v>02</v>
      </c>
      <c r="BB42" t="str">
        <f t="shared" si="63"/>
        <v>02</v>
      </c>
      <c r="BC42" t="str">
        <f t="shared" si="64"/>
        <v>01</v>
      </c>
      <c r="BD42" t="str">
        <f t="shared" si="65"/>
        <v>01</v>
      </c>
      <c r="BE42" t="str">
        <f t="shared" si="66"/>
        <v>03</v>
      </c>
      <c r="BF42" t="str">
        <f t="shared" si="67"/>
        <v>02</v>
      </c>
      <c r="BG42" t="str">
        <f t="shared" si="68"/>
        <v>01</v>
      </c>
      <c r="BH42" t="str">
        <f t="shared" si="69"/>
        <v>00</v>
      </c>
      <c r="BI42" t="str">
        <f t="shared" si="70"/>
        <v>00</v>
      </c>
      <c r="BJ42" t="str">
        <f t="shared" si="71"/>
        <v>00</v>
      </c>
      <c r="BK42" t="str">
        <f t="shared" si="72"/>
        <v>00</v>
      </c>
      <c r="BL42" t="str">
        <f t="shared" si="73"/>
        <v>00</v>
      </c>
      <c r="BM42" t="str">
        <f t="shared" si="74"/>
        <v>00</v>
      </c>
      <c r="BN42" t="str">
        <f t="shared" si="75"/>
        <v>00</v>
      </c>
      <c r="BO42" t="str">
        <f t="shared" si="76"/>
        <v>12</v>
      </c>
      <c r="BP42" t="str">
        <f t="shared" si="77"/>
        <v>0104020202020201010302010000000000000012</v>
      </c>
      <c r="BQ42" t="str">
        <f t="shared" si="80"/>
        <v>Menu04 L12 N038</v>
      </c>
      <c r="BR42" t="str">
        <f t="shared" si="107"/>
        <v>file38</v>
      </c>
      <c r="BS42" t="str">
        <f t="shared" si="79"/>
        <v>038,00,00,00,01,04,02,02,02,02,02,01,01,03,02,01,00,00,00,00,00,00,00,12,0104020202020201010302010000000000000012,Menu04 L12 N038,file38</v>
      </c>
    </row>
    <row r="43" spans="3:71" x14ac:dyDescent="0.25">
      <c r="C43">
        <f t="shared" si="81"/>
        <v>39</v>
      </c>
      <c r="D43">
        <v>1</v>
      </c>
      <c r="E43">
        <f t="shared" si="101"/>
        <v>4</v>
      </c>
      <c r="F43">
        <f t="shared" si="102"/>
        <v>2</v>
      </c>
      <c r="G43">
        <f t="shared" si="103"/>
        <v>2</v>
      </c>
      <c r="H43">
        <f t="shared" si="104"/>
        <v>2</v>
      </c>
      <c r="I43">
        <f t="shared" si="105"/>
        <v>2</v>
      </c>
      <c r="J43">
        <f t="shared" ref="J43:J59" si="110">J42</f>
        <v>2</v>
      </c>
      <c r="K43">
        <f t="shared" ref="K43:K54" si="111">K42</f>
        <v>1</v>
      </c>
      <c r="L43">
        <f t="shared" ref="L43:L48" si="112">L42</f>
        <v>1</v>
      </c>
      <c r="M43">
        <f t="shared" ref="M43:M46" si="113">M42</f>
        <v>3</v>
      </c>
      <c r="N43">
        <f>N42</f>
        <v>2</v>
      </c>
      <c r="O43">
        <v>2</v>
      </c>
      <c r="W43" t="s">
        <v>1</v>
      </c>
      <c r="X43" t="str">
        <f t="shared" si="82"/>
        <v>|</v>
      </c>
      <c r="Y43" t="str">
        <f t="shared" si="83"/>
        <v>|</v>
      </c>
      <c r="Z43" t="str">
        <f t="shared" si="84"/>
        <v>|</v>
      </c>
      <c r="AA43" t="str">
        <f t="shared" si="85"/>
        <v>|</v>
      </c>
      <c r="AB43" t="str">
        <f t="shared" si="86"/>
        <v>|</v>
      </c>
      <c r="AC43" t="str">
        <f t="shared" si="87"/>
        <v>|</v>
      </c>
      <c r="AD43" t="str">
        <f t="shared" si="88"/>
        <v>|</v>
      </c>
      <c r="AE43" t="str">
        <f t="shared" si="89"/>
        <v>|</v>
      </c>
      <c r="AF43" t="str">
        <f t="shared" si="90"/>
        <v>|</v>
      </c>
      <c r="AG43" t="str">
        <f t="shared" si="91"/>
        <v>|</v>
      </c>
      <c r="AH43" t="str">
        <f t="shared" si="92"/>
        <v>└</v>
      </c>
      <c r="AI43" t="str">
        <f t="shared" si="93"/>
        <v>--</v>
      </c>
      <c r="AJ43" t="str">
        <f t="shared" si="94"/>
        <v/>
      </c>
      <c r="AK43" t="str">
        <f t="shared" si="95"/>
        <v/>
      </c>
      <c r="AL43" t="str">
        <f t="shared" si="96"/>
        <v/>
      </c>
      <c r="AM43" t="str">
        <f t="shared" si="97"/>
        <v/>
      </c>
      <c r="AN43" t="str">
        <f t="shared" si="98"/>
        <v/>
      </c>
      <c r="AO43" t="str">
        <f t="shared" si="99"/>
        <v/>
      </c>
      <c r="AP43" t="str">
        <f t="shared" si="100"/>
        <v/>
      </c>
      <c r="AQ43" t="s">
        <v>1</v>
      </c>
      <c r="AR43" t="str">
        <f t="shared" si="55"/>
        <v>039</v>
      </c>
      <c r="AS43" t="str">
        <f t="shared" si="106"/>
        <v>00</v>
      </c>
      <c r="AT43" t="str">
        <f t="shared" si="106"/>
        <v>00</v>
      </c>
      <c r="AU43" t="str">
        <f t="shared" si="106"/>
        <v>00</v>
      </c>
      <c r="AV43" t="str">
        <f t="shared" si="57"/>
        <v>01</v>
      </c>
      <c r="AW43" t="str">
        <f t="shared" si="58"/>
        <v>04</v>
      </c>
      <c r="AX43" t="str">
        <f t="shared" si="59"/>
        <v>02</v>
      </c>
      <c r="AY43" t="str">
        <f t="shared" si="60"/>
        <v>02</v>
      </c>
      <c r="AZ43" t="str">
        <f t="shared" si="61"/>
        <v>02</v>
      </c>
      <c r="BA43" t="str">
        <f t="shared" si="62"/>
        <v>02</v>
      </c>
      <c r="BB43" t="str">
        <f t="shared" si="63"/>
        <v>02</v>
      </c>
      <c r="BC43" t="str">
        <f t="shared" si="64"/>
        <v>01</v>
      </c>
      <c r="BD43" t="str">
        <f t="shared" si="65"/>
        <v>01</v>
      </c>
      <c r="BE43" t="str">
        <f t="shared" si="66"/>
        <v>03</v>
      </c>
      <c r="BF43" t="str">
        <f t="shared" si="67"/>
        <v>02</v>
      </c>
      <c r="BG43" t="str">
        <f t="shared" si="68"/>
        <v>02</v>
      </c>
      <c r="BH43" t="str">
        <f t="shared" si="69"/>
        <v>00</v>
      </c>
      <c r="BI43" t="str">
        <f t="shared" si="70"/>
        <v>00</v>
      </c>
      <c r="BJ43" t="str">
        <f t="shared" si="71"/>
        <v>00</v>
      </c>
      <c r="BK43" t="str">
        <f t="shared" si="72"/>
        <v>00</v>
      </c>
      <c r="BL43" t="str">
        <f t="shared" si="73"/>
        <v>00</v>
      </c>
      <c r="BM43" t="str">
        <f t="shared" si="74"/>
        <v>00</v>
      </c>
      <c r="BN43" t="str">
        <f t="shared" si="75"/>
        <v>00</v>
      </c>
      <c r="BO43" t="str">
        <f t="shared" si="76"/>
        <v>12</v>
      </c>
      <c r="BP43" t="str">
        <f t="shared" si="77"/>
        <v>0104020202020201010302020000000000000012</v>
      </c>
      <c r="BQ43" t="str">
        <f t="shared" si="80"/>
        <v>Menu04 L12 N039</v>
      </c>
      <c r="BR43" t="str">
        <f t="shared" si="107"/>
        <v>file39</v>
      </c>
      <c r="BS43" t="str">
        <f t="shared" si="79"/>
        <v>039,00,00,00,01,04,02,02,02,02,02,01,01,03,02,02,00,00,00,00,00,00,00,12,0104020202020201010302020000000000000012,Menu04 L12 N039,file39</v>
      </c>
    </row>
    <row r="44" spans="3:71" x14ac:dyDescent="0.25">
      <c r="C44">
        <f t="shared" si="81"/>
        <v>40</v>
      </c>
      <c r="D44">
        <v>1</v>
      </c>
      <c r="E44">
        <f t="shared" si="101"/>
        <v>4</v>
      </c>
      <c r="F44">
        <f t="shared" si="102"/>
        <v>2</v>
      </c>
      <c r="G44">
        <f t="shared" si="103"/>
        <v>2</v>
      </c>
      <c r="H44">
        <f t="shared" si="104"/>
        <v>2</v>
      </c>
      <c r="I44">
        <f t="shared" si="105"/>
        <v>2</v>
      </c>
      <c r="J44">
        <f t="shared" si="110"/>
        <v>2</v>
      </c>
      <c r="K44">
        <f t="shared" si="111"/>
        <v>1</v>
      </c>
      <c r="L44">
        <f t="shared" si="112"/>
        <v>1</v>
      </c>
      <c r="M44">
        <f t="shared" si="113"/>
        <v>3</v>
      </c>
      <c r="N44">
        <f>N43</f>
        <v>2</v>
      </c>
      <c r="O44">
        <v>3</v>
      </c>
      <c r="W44" t="s">
        <v>1</v>
      </c>
      <c r="X44" t="str">
        <f t="shared" si="82"/>
        <v>|</v>
      </c>
      <c r="Y44" t="str">
        <f t="shared" si="83"/>
        <v>|</v>
      </c>
      <c r="Z44" t="str">
        <f t="shared" si="84"/>
        <v>|</v>
      </c>
      <c r="AA44" t="str">
        <f t="shared" si="85"/>
        <v>|</v>
      </c>
      <c r="AB44" t="str">
        <f t="shared" si="86"/>
        <v>|</v>
      </c>
      <c r="AC44" t="str">
        <f t="shared" si="87"/>
        <v>|</v>
      </c>
      <c r="AD44" t="str">
        <f t="shared" si="88"/>
        <v>|</v>
      </c>
      <c r="AE44" t="str">
        <f t="shared" si="89"/>
        <v>|</v>
      </c>
      <c r="AF44" t="str">
        <f t="shared" si="90"/>
        <v>|</v>
      </c>
      <c r="AG44" t="str">
        <f t="shared" si="91"/>
        <v>|</v>
      </c>
      <c r="AH44" t="str">
        <f t="shared" si="92"/>
        <v>└</v>
      </c>
      <c r="AI44" t="str">
        <f t="shared" si="93"/>
        <v>--</v>
      </c>
      <c r="AJ44" t="str">
        <f t="shared" si="94"/>
        <v/>
      </c>
      <c r="AK44" t="str">
        <f t="shared" si="95"/>
        <v/>
      </c>
      <c r="AL44" t="str">
        <f t="shared" si="96"/>
        <v/>
      </c>
      <c r="AM44" t="str">
        <f t="shared" si="97"/>
        <v/>
      </c>
      <c r="AN44" t="str">
        <f t="shared" si="98"/>
        <v/>
      </c>
      <c r="AO44" t="str">
        <f t="shared" si="99"/>
        <v/>
      </c>
      <c r="AP44" t="str">
        <f t="shared" si="100"/>
        <v/>
      </c>
      <c r="AQ44" t="s">
        <v>1</v>
      </c>
      <c r="AR44" t="str">
        <f t="shared" si="55"/>
        <v>040</v>
      </c>
      <c r="AS44" t="str">
        <f t="shared" si="106"/>
        <v>00</v>
      </c>
      <c r="AT44" t="str">
        <f t="shared" si="106"/>
        <v>00</v>
      </c>
      <c r="AU44" t="str">
        <f t="shared" si="106"/>
        <v>00</v>
      </c>
      <c r="AV44" t="str">
        <f t="shared" si="57"/>
        <v>01</v>
      </c>
      <c r="AW44" t="str">
        <f t="shared" si="58"/>
        <v>04</v>
      </c>
      <c r="AX44" t="str">
        <f t="shared" si="59"/>
        <v>02</v>
      </c>
      <c r="AY44" t="str">
        <f t="shared" si="60"/>
        <v>02</v>
      </c>
      <c r="AZ44" t="str">
        <f t="shared" si="61"/>
        <v>02</v>
      </c>
      <c r="BA44" t="str">
        <f t="shared" si="62"/>
        <v>02</v>
      </c>
      <c r="BB44" t="str">
        <f t="shared" si="63"/>
        <v>02</v>
      </c>
      <c r="BC44" t="str">
        <f t="shared" si="64"/>
        <v>01</v>
      </c>
      <c r="BD44" t="str">
        <f t="shared" si="65"/>
        <v>01</v>
      </c>
      <c r="BE44" t="str">
        <f t="shared" si="66"/>
        <v>03</v>
      </c>
      <c r="BF44" t="str">
        <f t="shared" si="67"/>
        <v>02</v>
      </c>
      <c r="BG44" t="str">
        <f t="shared" si="68"/>
        <v>03</v>
      </c>
      <c r="BH44" t="str">
        <f t="shared" si="69"/>
        <v>00</v>
      </c>
      <c r="BI44" t="str">
        <f t="shared" si="70"/>
        <v>00</v>
      </c>
      <c r="BJ44" t="str">
        <f t="shared" si="71"/>
        <v>00</v>
      </c>
      <c r="BK44" t="str">
        <f t="shared" si="72"/>
        <v>00</v>
      </c>
      <c r="BL44" t="str">
        <f t="shared" si="73"/>
        <v>00</v>
      </c>
      <c r="BM44" t="str">
        <f t="shared" si="74"/>
        <v>00</v>
      </c>
      <c r="BN44" t="str">
        <f t="shared" si="75"/>
        <v>00</v>
      </c>
      <c r="BO44" t="str">
        <f t="shared" si="76"/>
        <v>12</v>
      </c>
      <c r="BP44" t="str">
        <f t="shared" si="77"/>
        <v>0104020202020201010302030000000000000012</v>
      </c>
      <c r="BQ44" t="str">
        <f t="shared" si="80"/>
        <v>Menu04 L12 N040</v>
      </c>
      <c r="BR44" t="str">
        <f t="shared" si="107"/>
        <v>file40</v>
      </c>
      <c r="BS44" t="str">
        <f t="shared" si="79"/>
        <v>040,00,00,00,01,04,02,02,02,02,02,01,01,03,02,03,00,00,00,00,00,00,00,12,0104020202020201010302030000000000000012,Menu04 L12 N040,file40</v>
      </c>
    </row>
    <row r="45" spans="3:71" x14ac:dyDescent="0.25">
      <c r="C45">
        <f t="shared" si="81"/>
        <v>41</v>
      </c>
      <c r="D45">
        <v>1</v>
      </c>
      <c r="E45">
        <f t="shared" si="101"/>
        <v>4</v>
      </c>
      <c r="F45">
        <f t="shared" si="102"/>
        <v>2</v>
      </c>
      <c r="G45">
        <f t="shared" si="103"/>
        <v>2</v>
      </c>
      <c r="H45">
        <f t="shared" si="104"/>
        <v>2</v>
      </c>
      <c r="I45">
        <f t="shared" si="105"/>
        <v>2</v>
      </c>
      <c r="J45">
        <f t="shared" si="110"/>
        <v>2</v>
      </c>
      <c r="K45">
        <f t="shared" si="111"/>
        <v>1</v>
      </c>
      <c r="L45">
        <f t="shared" si="112"/>
        <v>1</v>
      </c>
      <c r="M45">
        <f t="shared" si="113"/>
        <v>3</v>
      </c>
      <c r="N45">
        <v>3</v>
      </c>
      <c r="W45" t="s">
        <v>1</v>
      </c>
      <c r="X45" t="str">
        <f t="shared" si="82"/>
        <v>|</v>
      </c>
      <c r="Y45" t="str">
        <f t="shared" si="83"/>
        <v>|</v>
      </c>
      <c r="Z45" t="str">
        <f t="shared" si="84"/>
        <v>|</v>
      </c>
      <c r="AA45" t="str">
        <f t="shared" si="85"/>
        <v>|</v>
      </c>
      <c r="AB45" t="str">
        <f t="shared" si="86"/>
        <v>|</v>
      </c>
      <c r="AC45" t="str">
        <f t="shared" si="87"/>
        <v>|</v>
      </c>
      <c r="AD45" t="str">
        <f t="shared" si="88"/>
        <v>|</v>
      </c>
      <c r="AE45" t="str">
        <f t="shared" si="89"/>
        <v>|</v>
      </c>
      <c r="AF45" t="str">
        <f t="shared" si="90"/>
        <v>|</v>
      </c>
      <c r="AG45" t="str">
        <f t="shared" si="91"/>
        <v>└</v>
      </c>
      <c r="AH45" t="str">
        <f t="shared" si="92"/>
        <v>--</v>
      </c>
      <c r="AI45" t="str">
        <f t="shared" si="93"/>
        <v/>
      </c>
      <c r="AJ45" t="str">
        <f t="shared" si="94"/>
        <v/>
      </c>
      <c r="AK45" t="str">
        <f t="shared" si="95"/>
        <v/>
      </c>
      <c r="AL45" t="str">
        <f t="shared" si="96"/>
        <v/>
      </c>
      <c r="AM45" t="str">
        <f t="shared" si="97"/>
        <v/>
      </c>
      <c r="AN45" t="str">
        <f t="shared" si="98"/>
        <v/>
      </c>
      <c r="AO45" t="str">
        <f t="shared" si="99"/>
        <v/>
      </c>
      <c r="AP45" t="str">
        <f t="shared" si="100"/>
        <v/>
      </c>
      <c r="AQ45" t="s">
        <v>1</v>
      </c>
      <c r="AR45" t="str">
        <f t="shared" si="55"/>
        <v>041</v>
      </c>
      <c r="AS45" t="str">
        <f t="shared" si="106"/>
        <v>00</v>
      </c>
      <c r="AT45" t="str">
        <f t="shared" si="106"/>
        <v>00</v>
      </c>
      <c r="AU45" t="str">
        <f t="shared" si="106"/>
        <v>00</v>
      </c>
      <c r="AV45" t="str">
        <f t="shared" si="57"/>
        <v>01</v>
      </c>
      <c r="AW45" t="str">
        <f t="shared" si="58"/>
        <v>04</v>
      </c>
      <c r="AX45" t="str">
        <f t="shared" si="59"/>
        <v>02</v>
      </c>
      <c r="AY45" t="str">
        <f t="shared" si="60"/>
        <v>02</v>
      </c>
      <c r="AZ45" t="str">
        <f t="shared" si="61"/>
        <v>02</v>
      </c>
      <c r="BA45" t="str">
        <f t="shared" si="62"/>
        <v>02</v>
      </c>
      <c r="BB45" t="str">
        <f t="shared" si="63"/>
        <v>02</v>
      </c>
      <c r="BC45" t="str">
        <f t="shared" si="64"/>
        <v>01</v>
      </c>
      <c r="BD45" t="str">
        <f t="shared" si="65"/>
        <v>01</v>
      </c>
      <c r="BE45" t="str">
        <f t="shared" si="66"/>
        <v>03</v>
      </c>
      <c r="BF45" t="str">
        <f t="shared" si="67"/>
        <v>03</v>
      </c>
      <c r="BG45" t="str">
        <f t="shared" si="68"/>
        <v>00</v>
      </c>
      <c r="BH45" t="str">
        <f t="shared" si="69"/>
        <v>00</v>
      </c>
      <c r="BI45" t="str">
        <f t="shared" si="70"/>
        <v>00</v>
      </c>
      <c r="BJ45" t="str">
        <f t="shared" si="71"/>
        <v>00</v>
      </c>
      <c r="BK45" t="str">
        <f t="shared" si="72"/>
        <v>00</v>
      </c>
      <c r="BL45" t="str">
        <f t="shared" si="73"/>
        <v>00</v>
      </c>
      <c r="BM45" t="str">
        <f t="shared" si="74"/>
        <v>00</v>
      </c>
      <c r="BN45" t="str">
        <f t="shared" si="75"/>
        <v>00</v>
      </c>
      <c r="BO45" t="str">
        <f t="shared" si="76"/>
        <v>11</v>
      </c>
      <c r="BP45" t="str">
        <f t="shared" si="77"/>
        <v>0104020202020201010303000000000000000011</v>
      </c>
      <c r="BQ45" t="str">
        <f t="shared" si="80"/>
        <v>Menu04 L11 N041</v>
      </c>
      <c r="BR45" t="str">
        <f t="shared" si="107"/>
        <v>file41</v>
      </c>
      <c r="BS45" t="str">
        <f t="shared" si="79"/>
        <v>041,00,00,00,01,04,02,02,02,02,02,01,01,03,03,00,00,00,00,00,00,00,00,11,0104020202020201010303000000000000000011,Menu04 L11 N041,file41</v>
      </c>
    </row>
    <row r="46" spans="3:71" x14ac:dyDescent="0.25">
      <c r="C46">
        <f t="shared" si="81"/>
        <v>42</v>
      </c>
      <c r="D46">
        <v>1</v>
      </c>
      <c r="E46">
        <f t="shared" si="101"/>
        <v>4</v>
      </c>
      <c r="F46">
        <f t="shared" si="102"/>
        <v>2</v>
      </c>
      <c r="G46">
        <f t="shared" si="103"/>
        <v>2</v>
      </c>
      <c r="H46">
        <f t="shared" si="104"/>
        <v>2</v>
      </c>
      <c r="I46">
        <f t="shared" si="105"/>
        <v>2</v>
      </c>
      <c r="J46">
        <f t="shared" si="110"/>
        <v>2</v>
      </c>
      <c r="K46">
        <f t="shared" si="111"/>
        <v>1</v>
      </c>
      <c r="L46">
        <f t="shared" si="112"/>
        <v>1</v>
      </c>
      <c r="M46">
        <f t="shared" si="113"/>
        <v>3</v>
      </c>
      <c r="N46">
        <v>4</v>
      </c>
      <c r="W46" t="s">
        <v>1</v>
      </c>
      <c r="X46" t="str">
        <f t="shared" si="82"/>
        <v>|</v>
      </c>
      <c r="Y46" t="str">
        <f t="shared" si="83"/>
        <v>|</v>
      </c>
      <c r="Z46" t="str">
        <f t="shared" si="84"/>
        <v>|</v>
      </c>
      <c r="AA46" t="str">
        <f t="shared" si="85"/>
        <v>|</v>
      </c>
      <c r="AB46" t="str">
        <f t="shared" si="86"/>
        <v>|</v>
      </c>
      <c r="AC46" t="str">
        <f t="shared" si="87"/>
        <v>|</v>
      </c>
      <c r="AD46" t="str">
        <f t="shared" si="88"/>
        <v>|</v>
      </c>
      <c r="AE46" t="str">
        <f t="shared" si="89"/>
        <v>|</v>
      </c>
      <c r="AF46" t="str">
        <f t="shared" si="90"/>
        <v>|</v>
      </c>
      <c r="AG46" t="str">
        <f t="shared" si="91"/>
        <v>└</v>
      </c>
      <c r="AH46" t="str">
        <f t="shared" si="92"/>
        <v>--</v>
      </c>
      <c r="AI46" t="str">
        <f t="shared" si="93"/>
        <v/>
      </c>
      <c r="AJ46" t="str">
        <f t="shared" si="94"/>
        <v/>
      </c>
      <c r="AK46" t="str">
        <f t="shared" si="95"/>
        <v/>
      </c>
      <c r="AL46" t="str">
        <f t="shared" si="96"/>
        <v/>
      </c>
      <c r="AM46" t="str">
        <f t="shared" si="97"/>
        <v/>
      </c>
      <c r="AN46" t="str">
        <f t="shared" si="98"/>
        <v/>
      </c>
      <c r="AO46" t="str">
        <f t="shared" si="99"/>
        <v/>
      </c>
      <c r="AP46" t="str">
        <f t="shared" si="100"/>
        <v/>
      </c>
      <c r="AQ46" t="s">
        <v>1</v>
      </c>
      <c r="AR46" t="str">
        <f t="shared" si="55"/>
        <v>042</v>
      </c>
      <c r="AS46" t="str">
        <f t="shared" si="106"/>
        <v>00</v>
      </c>
      <c r="AT46" t="str">
        <f t="shared" si="106"/>
        <v>00</v>
      </c>
      <c r="AU46" t="str">
        <f t="shared" si="106"/>
        <v>00</v>
      </c>
      <c r="AV46" t="str">
        <f t="shared" si="57"/>
        <v>01</v>
      </c>
      <c r="AW46" t="str">
        <f t="shared" si="58"/>
        <v>04</v>
      </c>
      <c r="AX46" t="str">
        <f t="shared" si="59"/>
        <v>02</v>
      </c>
      <c r="AY46" t="str">
        <f t="shared" si="60"/>
        <v>02</v>
      </c>
      <c r="AZ46" t="str">
        <f t="shared" si="61"/>
        <v>02</v>
      </c>
      <c r="BA46" t="str">
        <f t="shared" si="62"/>
        <v>02</v>
      </c>
      <c r="BB46" t="str">
        <f t="shared" si="63"/>
        <v>02</v>
      </c>
      <c r="BC46" t="str">
        <f t="shared" si="64"/>
        <v>01</v>
      </c>
      <c r="BD46" t="str">
        <f t="shared" si="65"/>
        <v>01</v>
      </c>
      <c r="BE46" t="str">
        <f t="shared" si="66"/>
        <v>03</v>
      </c>
      <c r="BF46" t="str">
        <f t="shared" si="67"/>
        <v>04</v>
      </c>
      <c r="BG46" t="str">
        <f t="shared" si="68"/>
        <v>00</v>
      </c>
      <c r="BH46" t="str">
        <f t="shared" si="69"/>
        <v>00</v>
      </c>
      <c r="BI46" t="str">
        <f t="shared" si="70"/>
        <v>00</v>
      </c>
      <c r="BJ46" t="str">
        <f t="shared" si="71"/>
        <v>00</v>
      </c>
      <c r="BK46" t="str">
        <f t="shared" si="72"/>
        <v>00</v>
      </c>
      <c r="BL46" t="str">
        <f t="shared" si="73"/>
        <v>00</v>
      </c>
      <c r="BM46" t="str">
        <f t="shared" si="74"/>
        <v>00</v>
      </c>
      <c r="BN46" t="str">
        <f t="shared" si="75"/>
        <v>00</v>
      </c>
      <c r="BO46" t="str">
        <f t="shared" si="76"/>
        <v>11</v>
      </c>
      <c r="BP46" t="str">
        <f t="shared" si="77"/>
        <v>0104020202020201010304000000000000000011</v>
      </c>
      <c r="BQ46" t="str">
        <f t="shared" si="80"/>
        <v>Menu04 L11 N042</v>
      </c>
      <c r="BR46" t="str">
        <f t="shared" si="107"/>
        <v>file42</v>
      </c>
      <c r="BS46" t="str">
        <f t="shared" si="79"/>
        <v>042,00,00,00,01,04,02,02,02,02,02,01,01,03,04,00,00,00,00,00,00,00,00,11,0104020202020201010304000000000000000011,Menu04 L11 N042,file42</v>
      </c>
    </row>
    <row r="47" spans="3:71" x14ac:dyDescent="0.25">
      <c r="C47">
        <f t="shared" si="81"/>
        <v>43</v>
      </c>
      <c r="D47">
        <v>1</v>
      </c>
      <c r="E47">
        <f t="shared" si="101"/>
        <v>4</v>
      </c>
      <c r="F47">
        <f t="shared" si="102"/>
        <v>2</v>
      </c>
      <c r="G47">
        <f t="shared" si="103"/>
        <v>2</v>
      </c>
      <c r="H47">
        <f t="shared" si="104"/>
        <v>2</v>
      </c>
      <c r="I47">
        <f t="shared" si="105"/>
        <v>2</v>
      </c>
      <c r="J47">
        <f t="shared" si="110"/>
        <v>2</v>
      </c>
      <c r="K47">
        <f t="shared" si="111"/>
        <v>1</v>
      </c>
      <c r="L47">
        <f t="shared" si="112"/>
        <v>1</v>
      </c>
      <c r="M47">
        <v>4</v>
      </c>
      <c r="W47" t="s">
        <v>1</v>
      </c>
      <c r="X47" t="str">
        <f t="shared" si="82"/>
        <v>|</v>
      </c>
      <c r="Y47" t="str">
        <f t="shared" si="83"/>
        <v>|</v>
      </c>
      <c r="Z47" t="str">
        <f t="shared" si="84"/>
        <v>|</v>
      </c>
      <c r="AA47" t="str">
        <f t="shared" si="85"/>
        <v>|</v>
      </c>
      <c r="AB47" t="str">
        <f t="shared" si="86"/>
        <v>|</v>
      </c>
      <c r="AC47" t="str">
        <f t="shared" si="87"/>
        <v>|</v>
      </c>
      <c r="AD47" t="str">
        <f t="shared" si="88"/>
        <v>|</v>
      </c>
      <c r="AE47" t="str">
        <f t="shared" si="89"/>
        <v>|</v>
      </c>
      <c r="AF47" t="str">
        <f t="shared" si="90"/>
        <v>└</v>
      </c>
      <c r="AG47" t="str">
        <f t="shared" si="91"/>
        <v>--</v>
      </c>
      <c r="AH47" t="str">
        <f t="shared" si="92"/>
        <v/>
      </c>
      <c r="AI47" t="str">
        <f t="shared" si="93"/>
        <v/>
      </c>
      <c r="AJ47" t="str">
        <f t="shared" si="94"/>
        <v/>
      </c>
      <c r="AK47" t="str">
        <f t="shared" si="95"/>
        <v/>
      </c>
      <c r="AL47" t="str">
        <f t="shared" si="96"/>
        <v/>
      </c>
      <c r="AM47" t="str">
        <f t="shared" si="97"/>
        <v/>
      </c>
      <c r="AN47" t="str">
        <f t="shared" si="98"/>
        <v/>
      </c>
      <c r="AO47" t="str">
        <f t="shared" si="99"/>
        <v/>
      </c>
      <c r="AP47" t="str">
        <f t="shared" si="100"/>
        <v/>
      </c>
      <c r="AQ47" t="s">
        <v>1</v>
      </c>
      <c r="AR47" t="str">
        <f t="shared" si="55"/>
        <v>043</v>
      </c>
      <c r="AS47" t="str">
        <f t="shared" si="106"/>
        <v>00</v>
      </c>
      <c r="AT47" t="str">
        <f t="shared" si="106"/>
        <v>00</v>
      </c>
      <c r="AU47" t="str">
        <f t="shared" si="106"/>
        <v>00</v>
      </c>
      <c r="AV47" t="str">
        <f t="shared" si="57"/>
        <v>01</v>
      </c>
      <c r="AW47" t="str">
        <f t="shared" si="58"/>
        <v>04</v>
      </c>
      <c r="AX47" t="str">
        <f t="shared" si="59"/>
        <v>02</v>
      </c>
      <c r="AY47" t="str">
        <f t="shared" si="60"/>
        <v>02</v>
      </c>
      <c r="AZ47" t="str">
        <f t="shared" si="61"/>
        <v>02</v>
      </c>
      <c r="BA47" t="str">
        <f t="shared" si="62"/>
        <v>02</v>
      </c>
      <c r="BB47" t="str">
        <f t="shared" si="63"/>
        <v>02</v>
      </c>
      <c r="BC47" t="str">
        <f t="shared" si="64"/>
        <v>01</v>
      </c>
      <c r="BD47" t="str">
        <f t="shared" si="65"/>
        <v>01</v>
      </c>
      <c r="BE47" t="str">
        <f t="shared" si="66"/>
        <v>04</v>
      </c>
      <c r="BF47" t="str">
        <f t="shared" si="67"/>
        <v>00</v>
      </c>
      <c r="BG47" t="str">
        <f t="shared" si="68"/>
        <v>00</v>
      </c>
      <c r="BH47" t="str">
        <f t="shared" si="69"/>
        <v>00</v>
      </c>
      <c r="BI47" t="str">
        <f t="shared" si="70"/>
        <v>00</v>
      </c>
      <c r="BJ47" t="str">
        <f t="shared" si="71"/>
        <v>00</v>
      </c>
      <c r="BK47" t="str">
        <f t="shared" si="72"/>
        <v>00</v>
      </c>
      <c r="BL47" t="str">
        <f t="shared" si="73"/>
        <v>00</v>
      </c>
      <c r="BM47" t="str">
        <f t="shared" si="74"/>
        <v>00</v>
      </c>
      <c r="BN47" t="str">
        <f t="shared" si="75"/>
        <v>00</v>
      </c>
      <c r="BO47" t="str">
        <f t="shared" si="76"/>
        <v>10</v>
      </c>
      <c r="BP47" t="str">
        <f t="shared" si="77"/>
        <v>0104020202020201010400000000000000000010</v>
      </c>
      <c r="BQ47" t="str">
        <f t="shared" si="80"/>
        <v>Menu04 L10 N043</v>
      </c>
      <c r="BR47" t="str">
        <f t="shared" si="107"/>
        <v>file43</v>
      </c>
      <c r="BS47" t="str">
        <f t="shared" si="79"/>
        <v>043,00,00,00,01,04,02,02,02,02,02,01,01,04,00,00,00,00,00,00,00,00,00,10,0104020202020201010400000000000000000010,Menu04 L10 N043,file43</v>
      </c>
    </row>
    <row r="48" spans="3:71" x14ac:dyDescent="0.25">
      <c r="C48">
        <f t="shared" si="81"/>
        <v>44</v>
      </c>
      <c r="D48">
        <v>1</v>
      </c>
      <c r="E48">
        <f t="shared" si="101"/>
        <v>4</v>
      </c>
      <c r="F48">
        <f t="shared" si="102"/>
        <v>2</v>
      </c>
      <c r="G48">
        <f t="shared" si="103"/>
        <v>2</v>
      </c>
      <c r="H48">
        <f t="shared" si="104"/>
        <v>2</v>
      </c>
      <c r="I48">
        <f t="shared" si="105"/>
        <v>2</v>
      </c>
      <c r="J48">
        <f t="shared" si="110"/>
        <v>2</v>
      </c>
      <c r="K48">
        <f t="shared" si="111"/>
        <v>1</v>
      </c>
      <c r="L48">
        <f t="shared" si="112"/>
        <v>1</v>
      </c>
      <c r="M48">
        <v>5</v>
      </c>
      <c r="W48" t="s">
        <v>1</v>
      </c>
      <c r="X48" t="str">
        <f t="shared" si="82"/>
        <v>|</v>
      </c>
      <c r="Y48" t="str">
        <f t="shared" si="83"/>
        <v>|</v>
      </c>
      <c r="Z48" t="str">
        <f t="shared" si="84"/>
        <v>|</v>
      </c>
      <c r="AA48" t="str">
        <f t="shared" si="85"/>
        <v>|</v>
      </c>
      <c r="AB48" t="str">
        <f t="shared" si="86"/>
        <v>|</v>
      </c>
      <c r="AC48" t="str">
        <f t="shared" si="87"/>
        <v>|</v>
      </c>
      <c r="AD48" t="str">
        <f t="shared" si="88"/>
        <v>|</v>
      </c>
      <c r="AE48" t="str">
        <f t="shared" si="89"/>
        <v>|</v>
      </c>
      <c r="AF48" t="str">
        <f t="shared" si="90"/>
        <v>└</v>
      </c>
      <c r="AG48" t="str">
        <f t="shared" si="91"/>
        <v>--</v>
      </c>
      <c r="AH48" t="str">
        <f t="shared" si="92"/>
        <v/>
      </c>
      <c r="AI48" t="str">
        <f t="shared" si="93"/>
        <v/>
      </c>
      <c r="AJ48" t="str">
        <f t="shared" si="94"/>
        <v/>
      </c>
      <c r="AK48" t="str">
        <f t="shared" si="95"/>
        <v/>
      </c>
      <c r="AL48" t="str">
        <f t="shared" si="96"/>
        <v/>
      </c>
      <c r="AM48" t="str">
        <f t="shared" si="97"/>
        <v/>
      </c>
      <c r="AN48" t="str">
        <f t="shared" si="98"/>
        <v/>
      </c>
      <c r="AO48" t="str">
        <f t="shared" si="99"/>
        <v/>
      </c>
      <c r="AP48" t="str">
        <f t="shared" si="100"/>
        <v/>
      </c>
      <c r="AQ48" t="s">
        <v>1</v>
      </c>
      <c r="AR48" t="str">
        <f t="shared" si="55"/>
        <v>044</v>
      </c>
      <c r="AS48" t="str">
        <f t="shared" si="106"/>
        <v>00</v>
      </c>
      <c r="AT48" t="str">
        <f t="shared" si="106"/>
        <v>00</v>
      </c>
      <c r="AU48" t="str">
        <f t="shared" si="106"/>
        <v>00</v>
      </c>
      <c r="AV48" t="str">
        <f t="shared" si="57"/>
        <v>01</v>
      </c>
      <c r="AW48" t="str">
        <f t="shared" si="58"/>
        <v>04</v>
      </c>
      <c r="AX48" t="str">
        <f t="shared" si="59"/>
        <v>02</v>
      </c>
      <c r="AY48" t="str">
        <f t="shared" si="60"/>
        <v>02</v>
      </c>
      <c r="AZ48" t="str">
        <f t="shared" si="61"/>
        <v>02</v>
      </c>
      <c r="BA48" t="str">
        <f t="shared" si="62"/>
        <v>02</v>
      </c>
      <c r="BB48" t="str">
        <f t="shared" si="63"/>
        <v>02</v>
      </c>
      <c r="BC48" t="str">
        <f t="shared" si="64"/>
        <v>01</v>
      </c>
      <c r="BD48" t="str">
        <f t="shared" si="65"/>
        <v>01</v>
      </c>
      <c r="BE48" t="str">
        <f t="shared" si="66"/>
        <v>05</v>
      </c>
      <c r="BF48" t="str">
        <f t="shared" si="67"/>
        <v>00</v>
      </c>
      <c r="BG48" t="str">
        <f t="shared" si="68"/>
        <v>00</v>
      </c>
      <c r="BH48" t="str">
        <f t="shared" si="69"/>
        <v>00</v>
      </c>
      <c r="BI48" t="str">
        <f t="shared" si="70"/>
        <v>00</v>
      </c>
      <c r="BJ48" t="str">
        <f t="shared" si="71"/>
        <v>00</v>
      </c>
      <c r="BK48" t="str">
        <f t="shared" si="72"/>
        <v>00</v>
      </c>
      <c r="BL48" t="str">
        <f t="shared" si="73"/>
        <v>00</v>
      </c>
      <c r="BM48" t="str">
        <f t="shared" si="74"/>
        <v>00</v>
      </c>
      <c r="BN48" t="str">
        <f t="shared" si="75"/>
        <v>00</v>
      </c>
      <c r="BO48" t="str">
        <f t="shared" si="76"/>
        <v>10</v>
      </c>
      <c r="BP48" t="str">
        <f t="shared" si="77"/>
        <v>0104020202020201010500000000000000000010</v>
      </c>
      <c r="BQ48" t="str">
        <f t="shared" si="80"/>
        <v>Menu04 L10 N044</v>
      </c>
      <c r="BR48" t="str">
        <f t="shared" si="107"/>
        <v>file44</v>
      </c>
      <c r="BS48" t="str">
        <f t="shared" si="79"/>
        <v>044,00,00,00,01,04,02,02,02,02,02,01,01,05,00,00,00,00,00,00,00,00,00,10,0104020202020201010500000000000000000010,Menu04 L10 N044,file44</v>
      </c>
    </row>
    <row r="49" spans="3:71" x14ac:dyDescent="0.25">
      <c r="C49">
        <f t="shared" si="81"/>
        <v>45</v>
      </c>
      <c r="D49">
        <v>1</v>
      </c>
      <c r="E49">
        <f t="shared" si="101"/>
        <v>4</v>
      </c>
      <c r="F49">
        <f t="shared" si="102"/>
        <v>2</v>
      </c>
      <c r="G49">
        <f t="shared" si="103"/>
        <v>2</v>
      </c>
      <c r="H49">
        <f t="shared" si="104"/>
        <v>2</v>
      </c>
      <c r="I49">
        <f t="shared" si="105"/>
        <v>2</v>
      </c>
      <c r="J49">
        <f t="shared" si="110"/>
        <v>2</v>
      </c>
      <c r="K49">
        <f t="shared" si="111"/>
        <v>1</v>
      </c>
      <c r="L49">
        <v>2</v>
      </c>
      <c r="W49" t="s">
        <v>1</v>
      </c>
      <c r="X49" t="str">
        <f t="shared" si="82"/>
        <v>|</v>
      </c>
      <c r="Y49" t="str">
        <f t="shared" si="83"/>
        <v>|</v>
      </c>
      <c r="Z49" t="str">
        <f t="shared" si="84"/>
        <v>|</v>
      </c>
      <c r="AA49" t="str">
        <f t="shared" si="85"/>
        <v>|</v>
      </c>
      <c r="AB49" t="str">
        <f t="shared" si="86"/>
        <v>|</v>
      </c>
      <c r="AC49" t="str">
        <f t="shared" si="87"/>
        <v>|</v>
      </c>
      <c r="AD49" t="str">
        <f t="shared" si="88"/>
        <v>|</v>
      </c>
      <c r="AE49" t="str">
        <f t="shared" si="89"/>
        <v>└</v>
      </c>
      <c r="AF49" t="str">
        <f t="shared" si="90"/>
        <v>--</v>
      </c>
      <c r="AG49" t="str">
        <f t="shared" si="91"/>
        <v/>
      </c>
      <c r="AH49" t="str">
        <f t="shared" si="92"/>
        <v/>
      </c>
      <c r="AI49" t="str">
        <f t="shared" si="93"/>
        <v/>
      </c>
      <c r="AJ49" t="str">
        <f t="shared" si="94"/>
        <v/>
      </c>
      <c r="AK49" t="str">
        <f t="shared" si="95"/>
        <v/>
      </c>
      <c r="AL49" t="str">
        <f t="shared" si="96"/>
        <v/>
      </c>
      <c r="AM49" t="str">
        <f t="shared" si="97"/>
        <v/>
      </c>
      <c r="AN49" t="str">
        <f t="shared" si="98"/>
        <v/>
      </c>
      <c r="AO49" t="str">
        <f t="shared" si="99"/>
        <v/>
      </c>
      <c r="AP49" t="str">
        <f t="shared" si="100"/>
        <v/>
      </c>
      <c r="AQ49" t="s">
        <v>1</v>
      </c>
      <c r="AR49" t="str">
        <f t="shared" si="55"/>
        <v>045</v>
      </c>
      <c r="AS49" t="str">
        <f t="shared" si="106"/>
        <v>00</v>
      </c>
      <c r="AT49" t="str">
        <f t="shared" si="106"/>
        <v>00</v>
      </c>
      <c r="AU49" t="str">
        <f t="shared" si="106"/>
        <v>00</v>
      </c>
      <c r="AV49" t="str">
        <f t="shared" si="57"/>
        <v>01</v>
      </c>
      <c r="AW49" t="str">
        <f t="shared" si="58"/>
        <v>04</v>
      </c>
      <c r="AX49" t="str">
        <f t="shared" si="59"/>
        <v>02</v>
      </c>
      <c r="AY49" t="str">
        <f t="shared" si="60"/>
        <v>02</v>
      </c>
      <c r="AZ49" t="str">
        <f t="shared" si="61"/>
        <v>02</v>
      </c>
      <c r="BA49" t="str">
        <f t="shared" si="62"/>
        <v>02</v>
      </c>
      <c r="BB49" t="str">
        <f t="shared" si="63"/>
        <v>02</v>
      </c>
      <c r="BC49" t="str">
        <f t="shared" si="64"/>
        <v>01</v>
      </c>
      <c r="BD49" t="str">
        <f t="shared" si="65"/>
        <v>02</v>
      </c>
      <c r="BE49" t="str">
        <f t="shared" si="66"/>
        <v>00</v>
      </c>
      <c r="BF49" t="str">
        <f t="shared" si="67"/>
        <v>00</v>
      </c>
      <c r="BG49" t="str">
        <f t="shared" si="68"/>
        <v>00</v>
      </c>
      <c r="BH49" t="str">
        <f t="shared" si="69"/>
        <v>00</v>
      </c>
      <c r="BI49" t="str">
        <f t="shared" si="70"/>
        <v>00</v>
      </c>
      <c r="BJ49" t="str">
        <f t="shared" si="71"/>
        <v>00</v>
      </c>
      <c r="BK49" t="str">
        <f t="shared" si="72"/>
        <v>00</v>
      </c>
      <c r="BL49" t="str">
        <f t="shared" si="73"/>
        <v>00</v>
      </c>
      <c r="BM49" t="str">
        <f t="shared" si="74"/>
        <v>00</v>
      </c>
      <c r="BN49" t="str">
        <f t="shared" si="75"/>
        <v>00</v>
      </c>
      <c r="BO49" t="str">
        <f t="shared" si="76"/>
        <v>09</v>
      </c>
      <c r="BP49" t="str">
        <f t="shared" si="77"/>
        <v>0104020202020201020000000000000000000009</v>
      </c>
      <c r="BQ49" t="str">
        <f t="shared" si="80"/>
        <v>Menu04 L09 N045</v>
      </c>
      <c r="BR49" t="str">
        <f t="shared" si="107"/>
        <v>file45</v>
      </c>
      <c r="BS49" t="str">
        <f t="shared" si="79"/>
        <v>045,00,00,00,01,04,02,02,02,02,02,01,02,00,00,00,00,00,00,00,00,00,00,09,0104020202020201020000000000000000000009,Menu04 L09 N045,file45</v>
      </c>
    </row>
    <row r="50" spans="3:71" x14ac:dyDescent="0.25">
      <c r="C50">
        <f t="shared" si="81"/>
        <v>46</v>
      </c>
      <c r="D50">
        <v>1</v>
      </c>
      <c r="E50">
        <v>4</v>
      </c>
      <c r="F50">
        <v>2</v>
      </c>
      <c r="G50">
        <v>2</v>
      </c>
      <c r="H50">
        <v>2</v>
      </c>
      <c r="I50">
        <v>2</v>
      </c>
      <c r="J50">
        <v>2</v>
      </c>
      <c r="K50">
        <v>1</v>
      </c>
      <c r="L50">
        <v>3</v>
      </c>
      <c r="M50">
        <v>0</v>
      </c>
      <c r="W50" t="s">
        <v>1</v>
      </c>
      <c r="X50" t="str">
        <f t="shared" si="82"/>
        <v>|</v>
      </c>
      <c r="Y50" t="str">
        <f t="shared" si="83"/>
        <v>|</v>
      </c>
      <c r="Z50" t="str">
        <f t="shared" si="84"/>
        <v>|</v>
      </c>
      <c r="AA50" t="str">
        <f t="shared" si="85"/>
        <v>|</v>
      </c>
      <c r="AB50" t="str">
        <f t="shared" si="86"/>
        <v>|</v>
      </c>
      <c r="AC50" t="str">
        <f t="shared" si="87"/>
        <v>|</v>
      </c>
      <c r="AD50" t="str">
        <f t="shared" si="88"/>
        <v>|</v>
      </c>
      <c r="AE50" t="str">
        <f t="shared" si="89"/>
        <v>└</v>
      </c>
      <c r="AF50" t="str">
        <f t="shared" si="90"/>
        <v>--</v>
      </c>
      <c r="AG50" t="str">
        <f t="shared" si="91"/>
        <v/>
      </c>
      <c r="AH50" t="str">
        <f t="shared" si="92"/>
        <v/>
      </c>
      <c r="AI50" t="str">
        <f t="shared" si="93"/>
        <v/>
      </c>
      <c r="AJ50" t="str">
        <f t="shared" si="94"/>
        <v/>
      </c>
      <c r="AK50" t="str">
        <f t="shared" si="95"/>
        <v/>
      </c>
      <c r="AL50" t="str">
        <f t="shared" si="96"/>
        <v/>
      </c>
      <c r="AM50" t="str">
        <f t="shared" si="97"/>
        <v/>
      </c>
      <c r="AN50" t="str">
        <f t="shared" si="98"/>
        <v/>
      </c>
      <c r="AO50" t="str">
        <f t="shared" si="99"/>
        <v/>
      </c>
      <c r="AP50" t="str">
        <f t="shared" si="100"/>
        <v/>
      </c>
      <c r="AQ50" t="s">
        <v>1</v>
      </c>
      <c r="AR50" t="str">
        <f t="shared" si="55"/>
        <v>046</v>
      </c>
      <c r="AS50" t="str">
        <f t="shared" si="106"/>
        <v>00</v>
      </c>
      <c r="AT50" t="str">
        <f t="shared" si="106"/>
        <v>00</v>
      </c>
      <c r="AU50" t="str">
        <f t="shared" si="106"/>
        <v>00</v>
      </c>
      <c r="AV50" t="str">
        <f t="shared" si="57"/>
        <v>01</v>
      </c>
      <c r="AW50" t="str">
        <f t="shared" si="58"/>
        <v>04</v>
      </c>
      <c r="AX50" t="str">
        <f t="shared" si="59"/>
        <v>02</v>
      </c>
      <c r="AY50" t="str">
        <f t="shared" si="60"/>
        <v>02</v>
      </c>
      <c r="AZ50" t="str">
        <f t="shared" si="61"/>
        <v>02</v>
      </c>
      <c r="BA50" t="str">
        <f t="shared" si="62"/>
        <v>02</v>
      </c>
      <c r="BB50" t="str">
        <f t="shared" si="63"/>
        <v>02</v>
      </c>
      <c r="BC50" t="str">
        <f t="shared" si="64"/>
        <v>01</v>
      </c>
      <c r="BD50" t="str">
        <f t="shared" si="65"/>
        <v>03</v>
      </c>
      <c r="BE50" t="str">
        <f t="shared" si="66"/>
        <v>00</v>
      </c>
      <c r="BF50" t="str">
        <f t="shared" si="67"/>
        <v>00</v>
      </c>
      <c r="BG50" t="str">
        <f t="shared" si="68"/>
        <v>00</v>
      </c>
      <c r="BH50" t="str">
        <f t="shared" si="69"/>
        <v>00</v>
      </c>
      <c r="BI50" t="str">
        <f t="shared" si="70"/>
        <v>00</v>
      </c>
      <c r="BJ50" t="str">
        <f t="shared" si="71"/>
        <v>00</v>
      </c>
      <c r="BK50" t="str">
        <f t="shared" si="72"/>
        <v>00</v>
      </c>
      <c r="BL50" t="str">
        <f t="shared" si="73"/>
        <v>00</v>
      </c>
      <c r="BM50" t="str">
        <f t="shared" si="74"/>
        <v>00</v>
      </c>
      <c r="BN50" t="str">
        <f t="shared" si="75"/>
        <v>00</v>
      </c>
      <c r="BO50" t="str">
        <f t="shared" si="76"/>
        <v>09</v>
      </c>
      <c r="BP50" t="str">
        <f t="shared" si="77"/>
        <v>0104020202020201030000000000000000000009</v>
      </c>
      <c r="BQ50" t="str">
        <f t="shared" si="80"/>
        <v>Menu04 L09 N046</v>
      </c>
      <c r="BR50" t="str">
        <f t="shared" si="107"/>
        <v>file46</v>
      </c>
      <c r="BS50" t="str">
        <f t="shared" si="79"/>
        <v>046,00,00,00,01,04,02,02,02,02,02,01,03,00,00,00,00,00,00,00,00,00,00,09,0104020202020201030000000000000000000009,Menu04 L09 N046,file46</v>
      </c>
    </row>
    <row r="51" spans="3:71" x14ac:dyDescent="0.25">
      <c r="C51">
        <f t="shared" si="81"/>
        <v>47</v>
      </c>
      <c r="D51">
        <v>1</v>
      </c>
      <c r="E51">
        <f t="shared" ref="E51:K51" si="114">E49</f>
        <v>4</v>
      </c>
      <c r="F51">
        <f t="shared" si="114"/>
        <v>2</v>
      </c>
      <c r="G51">
        <f t="shared" si="114"/>
        <v>2</v>
      </c>
      <c r="H51">
        <f t="shared" si="114"/>
        <v>2</v>
      </c>
      <c r="I51">
        <f t="shared" si="114"/>
        <v>2</v>
      </c>
      <c r="J51">
        <f t="shared" si="114"/>
        <v>2</v>
      </c>
      <c r="K51">
        <f t="shared" si="114"/>
        <v>1</v>
      </c>
      <c r="L51">
        <v>3</v>
      </c>
      <c r="M51">
        <v>1</v>
      </c>
      <c r="W51" t="s">
        <v>1</v>
      </c>
      <c r="X51" t="str">
        <f t="shared" si="82"/>
        <v>|</v>
      </c>
      <c r="Y51" t="str">
        <f t="shared" si="83"/>
        <v>|</v>
      </c>
      <c r="Z51" t="str">
        <f t="shared" si="84"/>
        <v>|</v>
      </c>
      <c r="AA51" t="str">
        <f t="shared" si="85"/>
        <v>|</v>
      </c>
      <c r="AB51" t="str">
        <f t="shared" si="86"/>
        <v>|</v>
      </c>
      <c r="AC51" t="str">
        <f t="shared" si="87"/>
        <v>|</v>
      </c>
      <c r="AD51" t="str">
        <f t="shared" si="88"/>
        <v>|</v>
      </c>
      <c r="AE51" t="str">
        <f t="shared" si="89"/>
        <v>|</v>
      </c>
      <c r="AF51" t="str">
        <f t="shared" si="90"/>
        <v>└</v>
      </c>
      <c r="AG51" t="str">
        <f t="shared" si="91"/>
        <v>--</v>
      </c>
      <c r="AH51" t="str">
        <f t="shared" si="92"/>
        <v/>
      </c>
      <c r="AI51" t="str">
        <f t="shared" si="93"/>
        <v/>
      </c>
      <c r="AJ51" t="str">
        <f t="shared" si="94"/>
        <v/>
      </c>
      <c r="AK51" t="str">
        <f t="shared" si="95"/>
        <v/>
      </c>
      <c r="AL51" t="str">
        <f t="shared" si="96"/>
        <v/>
      </c>
      <c r="AM51" t="str">
        <f t="shared" si="97"/>
        <v/>
      </c>
      <c r="AN51" t="str">
        <f t="shared" si="98"/>
        <v/>
      </c>
      <c r="AO51" t="str">
        <f t="shared" si="99"/>
        <v/>
      </c>
      <c r="AP51" t="str">
        <f t="shared" si="100"/>
        <v/>
      </c>
      <c r="AQ51" t="s">
        <v>1</v>
      </c>
      <c r="AR51" t="str">
        <f t="shared" si="55"/>
        <v>047</v>
      </c>
      <c r="AS51" t="str">
        <f t="shared" si="106"/>
        <v>00</v>
      </c>
      <c r="AT51" t="str">
        <f t="shared" si="106"/>
        <v>00</v>
      </c>
      <c r="AU51" t="str">
        <f t="shared" si="106"/>
        <v>00</v>
      </c>
      <c r="AV51" t="str">
        <f t="shared" si="57"/>
        <v>01</v>
      </c>
      <c r="AW51" t="str">
        <f t="shared" si="58"/>
        <v>04</v>
      </c>
      <c r="AX51" t="str">
        <f t="shared" si="59"/>
        <v>02</v>
      </c>
      <c r="AY51" t="str">
        <f t="shared" si="60"/>
        <v>02</v>
      </c>
      <c r="AZ51" t="str">
        <f t="shared" si="61"/>
        <v>02</v>
      </c>
      <c r="BA51" t="str">
        <f t="shared" si="62"/>
        <v>02</v>
      </c>
      <c r="BB51" t="str">
        <f t="shared" si="63"/>
        <v>02</v>
      </c>
      <c r="BC51" t="str">
        <f t="shared" si="64"/>
        <v>01</v>
      </c>
      <c r="BD51" t="str">
        <f t="shared" si="65"/>
        <v>03</v>
      </c>
      <c r="BE51" t="str">
        <f t="shared" si="66"/>
        <v>01</v>
      </c>
      <c r="BF51" t="str">
        <f t="shared" si="67"/>
        <v>00</v>
      </c>
      <c r="BG51" t="str">
        <f t="shared" si="68"/>
        <v>00</v>
      </c>
      <c r="BH51" t="str">
        <f t="shared" si="69"/>
        <v>00</v>
      </c>
      <c r="BI51" t="str">
        <f t="shared" si="70"/>
        <v>00</v>
      </c>
      <c r="BJ51" t="str">
        <f t="shared" si="71"/>
        <v>00</v>
      </c>
      <c r="BK51" t="str">
        <f t="shared" si="72"/>
        <v>00</v>
      </c>
      <c r="BL51" t="str">
        <f t="shared" si="73"/>
        <v>00</v>
      </c>
      <c r="BM51" t="str">
        <f t="shared" si="74"/>
        <v>00</v>
      </c>
      <c r="BN51" t="str">
        <f t="shared" si="75"/>
        <v>00</v>
      </c>
      <c r="BO51" t="str">
        <f t="shared" si="76"/>
        <v>10</v>
      </c>
      <c r="BP51" t="str">
        <f t="shared" si="77"/>
        <v>0104020202020201030100000000000000000010</v>
      </c>
      <c r="BQ51" t="str">
        <f t="shared" si="80"/>
        <v>Menu04 L10 N047</v>
      </c>
      <c r="BR51" t="str">
        <f t="shared" si="107"/>
        <v>file47</v>
      </c>
      <c r="BS51" t="str">
        <f t="shared" si="79"/>
        <v>047,00,00,00,01,04,02,02,02,02,02,01,03,01,00,00,00,00,00,00,00,00,00,10,0104020202020201030100000000000000000010,Menu04 L10 N047,file47</v>
      </c>
    </row>
    <row r="52" spans="3:71" x14ac:dyDescent="0.25">
      <c r="C52">
        <f t="shared" si="81"/>
        <v>48</v>
      </c>
      <c r="D52">
        <v>1</v>
      </c>
      <c r="E52">
        <f t="shared" si="101"/>
        <v>4</v>
      </c>
      <c r="F52">
        <f t="shared" si="102"/>
        <v>2</v>
      </c>
      <c r="G52">
        <f t="shared" si="103"/>
        <v>2</v>
      </c>
      <c r="H52">
        <f t="shared" si="104"/>
        <v>2</v>
      </c>
      <c r="I52">
        <f t="shared" si="105"/>
        <v>2</v>
      </c>
      <c r="J52">
        <f t="shared" si="110"/>
        <v>2</v>
      </c>
      <c r="K52">
        <f t="shared" si="111"/>
        <v>1</v>
      </c>
      <c r="L52">
        <v>3</v>
      </c>
      <c r="M52">
        <v>2</v>
      </c>
      <c r="W52" t="s">
        <v>1</v>
      </c>
      <c r="X52" t="str">
        <f t="shared" si="82"/>
        <v>|</v>
      </c>
      <c r="Y52" t="str">
        <f t="shared" si="83"/>
        <v>|</v>
      </c>
      <c r="Z52" t="str">
        <f t="shared" si="84"/>
        <v>|</v>
      </c>
      <c r="AA52" t="str">
        <f t="shared" si="85"/>
        <v>|</v>
      </c>
      <c r="AB52" t="str">
        <f t="shared" si="86"/>
        <v>|</v>
      </c>
      <c r="AC52" t="str">
        <f t="shared" si="87"/>
        <v>|</v>
      </c>
      <c r="AD52" t="str">
        <f t="shared" si="88"/>
        <v>|</v>
      </c>
      <c r="AE52" t="str">
        <f t="shared" si="89"/>
        <v>|</v>
      </c>
      <c r="AF52" t="str">
        <f t="shared" si="90"/>
        <v>└</v>
      </c>
      <c r="AG52" t="str">
        <f t="shared" si="91"/>
        <v>--</v>
      </c>
      <c r="AH52" t="str">
        <f t="shared" si="92"/>
        <v/>
      </c>
      <c r="AI52" t="str">
        <f t="shared" si="93"/>
        <v/>
      </c>
      <c r="AJ52" t="str">
        <f t="shared" si="94"/>
        <v/>
      </c>
      <c r="AK52" t="str">
        <f t="shared" si="95"/>
        <v/>
      </c>
      <c r="AL52" t="str">
        <f t="shared" si="96"/>
        <v/>
      </c>
      <c r="AM52" t="str">
        <f t="shared" si="97"/>
        <v/>
      </c>
      <c r="AN52" t="str">
        <f t="shared" si="98"/>
        <v/>
      </c>
      <c r="AO52" t="str">
        <f t="shared" si="99"/>
        <v/>
      </c>
      <c r="AP52" t="str">
        <f t="shared" si="100"/>
        <v/>
      </c>
      <c r="AQ52" t="s">
        <v>1</v>
      </c>
      <c r="AR52" t="str">
        <f t="shared" si="55"/>
        <v>048</v>
      </c>
      <c r="AS52" t="str">
        <f t="shared" si="106"/>
        <v>00</v>
      </c>
      <c r="AT52" t="str">
        <f t="shared" si="106"/>
        <v>00</v>
      </c>
      <c r="AU52" t="str">
        <f t="shared" si="106"/>
        <v>00</v>
      </c>
      <c r="AV52" t="str">
        <f t="shared" si="57"/>
        <v>01</v>
      </c>
      <c r="AW52" t="str">
        <f t="shared" si="58"/>
        <v>04</v>
      </c>
      <c r="AX52" t="str">
        <f t="shared" si="59"/>
        <v>02</v>
      </c>
      <c r="AY52" t="str">
        <f t="shared" si="60"/>
        <v>02</v>
      </c>
      <c r="AZ52" t="str">
        <f t="shared" si="61"/>
        <v>02</v>
      </c>
      <c r="BA52" t="str">
        <f t="shared" si="62"/>
        <v>02</v>
      </c>
      <c r="BB52" t="str">
        <f t="shared" si="63"/>
        <v>02</v>
      </c>
      <c r="BC52" t="str">
        <f t="shared" si="64"/>
        <v>01</v>
      </c>
      <c r="BD52" t="str">
        <f t="shared" si="65"/>
        <v>03</v>
      </c>
      <c r="BE52" t="str">
        <f t="shared" si="66"/>
        <v>02</v>
      </c>
      <c r="BF52" t="str">
        <f t="shared" si="67"/>
        <v>00</v>
      </c>
      <c r="BG52" t="str">
        <f t="shared" si="68"/>
        <v>00</v>
      </c>
      <c r="BH52" t="str">
        <f t="shared" si="69"/>
        <v>00</v>
      </c>
      <c r="BI52" t="str">
        <f t="shared" si="70"/>
        <v>00</v>
      </c>
      <c r="BJ52" t="str">
        <f t="shared" si="71"/>
        <v>00</v>
      </c>
      <c r="BK52" t="str">
        <f t="shared" si="72"/>
        <v>00</v>
      </c>
      <c r="BL52" t="str">
        <f t="shared" si="73"/>
        <v>00</v>
      </c>
      <c r="BM52" t="str">
        <f t="shared" si="74"/>
        <v>00</v>
      </c>
      <c r="BN52" t="str">
        <f t="shared" si="75"/>
        <v>00</v>
      </c>
      <c r="BO52" t="str">
        <f t="shared" si="76"/>
        <v>10</v>
      </c>
      <c r="BP52" t="str">
        <f t="shared" si="77"/>
        <v>0104020202020201030200000000000000000010</v>
      </c>
      <c r="BQ52" t="str">
        <f t="shared" si="80"/>
        <v>Menu04 L10 N048</v>
      </c>
      <c r="BR52" t="str">
        <f t="shared" si="107"/>
        <v>file48</v>
      </c>
      <c r="BS52" t="str">
        <f t="shared" si="79"/>
        <v>048,00,00,00,01,04,02,02,02,02,02,01,03,02,00,00,00,00,00,00,00,00,00,10,0104020202020201030200000000000000000010,Menu04 L10 N048,file48</v>
      </c>
    </row>
    <row r="53" spans="3:71" x14ac:dyDescent="0.25">
      <c r="C53">
        <f t="shared" si="81"/>
        <v>49</v>
      </c>
      <c r="D53">
        <v>1</v>
      </c>
      <c r="E53">
        <f t="shared" si="101"/>
        <v>4</v>
      </c>
      <c r="F53">
        <f t="shared" si="102"/>
        <v>2</v>
      </c>
      <c r="G53">
        <f t="shared" si="103"/>
        <v>2</v>
      </c>
      <c r="H53">
        <f t="shared" si="104"/>
        <v>2</v>
      </c>
      <c r="I53">
        <f t="shared" si="105"/>
        <v>2</v>
      </c>
      <c r="J53">
        <f t="shared" si="110"/>
        <v>2</v>
      </c>
      <c r="K53">
        <f t="shared" si="111"/>
        <v>1</v>
      </c>
      <c r="L53">
        <v>4</v>
      </c>
      <c r="W53" t="s">
        <v>1</v>
      </c>
      <c r="X53" t="str">
        <f t="shared" si="82"/>
        <v>|</v>
      </c>
      <c r="Y53" t="str">
        <f t="shared" si="83"/>
        <v>|</v>
      </c>
      <c r="Z53" t="str">
        <f t="shared" si="84"/>
        <v>|</v>
      </c>
      <c r="AA53" t="str">
        <f t="shared" si="85"/>
        <v>|</v>
      </c>
      <c r="AB53" t="str">
        <f t="shared" si="86"/>
        <v>|</v>
      </c>
      <c r="AC53" t="str">
        <f t="shared" si="87"/>
        <v>|</v>
      </c>
      <c r="AD53" t="str">
        <f t="shared" si="88"/>
        <v>|</v>
      </c>
      <c r="AE53" t="str">
        <f t="shared" si="89"/>
        <v>└</v>
      </c>
      <c r="AF53" t="str">
        <f t="shared" si="90"/>
        <v>--</v>
      </c>
      <c r="AG53" t="str">
        <f t="shared" si="91"/>
        <v/>
      </c>
      <c r="AH53" t="str">
        <f t="shared" si="92"/>
        <v/>
      </c>
      <c r="AI53" t="str">
        <f t="shared" si="93"/>
        <v/>
      </c>
      <c r="AJ53" t="str">
        <f t="shared" si="94"/>
        <v/>
      </c>
      <c r="AK53" t="str">
        <f t="shared" si="95"/>
        <v/>
      </c>
      <c r="AL53" t="str">
        <f t="shared" si="96"/>
        <v/>
      </c>
      <c r="AM53" t="str">
        <f t="shared" si="97"/>
        <v/>
      </c>
      <c r="AN53" t="str">
        <f t="shared" si="98"/>
        <v/>
      </c>
      <c r="AO53" t="str">
        <f t="shared" si="99"/>
        <v/>
      </c>
      <c r="AP53" t="str">
        <f t="shared" si="100"/>
        <v/>
      </c>
      <c r="AQ53" t="s">
        <v>1</v>
      </c>
      <c r="AR53" t="str">
        <f t="shared" si="55"/>
        <v>049</v>
      </c>
      <c r="AS53" t="str">
        <f t="shared" si="106"/>
        <v>00</v>
      </c>
      <c r="AT53" t="str">
        <f t="shared" si="106"/>
        <v>00</v>
      </c>
      <c r="AU53" t="str">
        <f t="shared" si="106"/>
        <v>00</v>
      </c>
      <c r="AV53" t="str">
        <f t="shared" si="57"/>
        <v>01</v>
      </c>
      <c r="AW53" t="str">
        <f t="shared" si="58"/>
        <v>04</v>
      </c>
      <c r="AX53" t="str">
        <f t="shared" si="59"/>
        <v>02</v>
      </c>
      <c r="AY53" t="str">
        <f t="shared" si="60"/>
        <v>02</v>
      </c>
      <c r="AZ53" t="str">
        <f t="shared" si="61"/>
        <v>02</v>
      </c>
      <c r="BA53" t="str">
        <f t="shared" si="62"/>
        <v>02</v>
      </c>
      <c r="BB53" t="str">
        <f t="shared" si="63"/>
        <v>02</v>
      </c>
      <c r="BC53" t="str">
        <f t="shared" si="64"/>
        <v>01</v>
      </c>
      <c r="BD53" t="str">
        <f t="shared" si="65"/>
        <v>04</v>
      </c>
      <c r="BE53" t="str">
        <f t="shared" si="66"/>
        <v>00</v>
      </c>
      <c r="BF53" t="str">
        <f t="shared" si="67"/>
        <v>00</v>
      </c>
      <c r="BG53" t="str">
        <f t="shared" si="68"/>
        <v>00</v>
      </c>
      <c r="BH53" t="str">
        <f t="shared" si="69"/>
        <v>00</v>
      </c>
      <c r="BI53" t="str">
        <f t="shared" si="70"/>
        <v>00</v>
      </c>
      <c r="BJ53" t="str">
        <f t="shared" si="71"/>
        <v>00</v>
      </c>
      <c r="BK53" t="str">
        <f t="shared" si="72"/>
        <v>00</v>
      </c>
      <c r="BL53" t="str">
        <f t="shared" si="73"/>
        <v>00</v>
      </c>
      <c r="BM53" t="str">
        <f t="shared" si="74"/>
        <v>00</v>
      </c>
      <c r="BN53" t="str">
        <f t="shared" si="75"/>
        <v>00</v>
      </c>
      <c r="BO53" t="str">
        <f t="shared" si="76"/>
        <v>09</v>
      </c>
      <c r="BP53" t="str">
        <f t="shared" si="77"/>
        <v>0104020202020201040000000000000000000009</v>
      </c>
      <c r="BQ53" t="str">
        <f t="shared" si="80"/>
        <v>Menu04 L09 N049</v>
      </c>
      <c r="BR53" t="str">
        <f t="shared" si="107"/>
        <v>file49</v>
      </c>
      <c r="BS53" t="str">
        <f t="shared" si="79"/>
        <v>049,00,00,00,01,04,02,02,02,02,02,01,04,00,00,00,00,00,00,00,00,00,00,09,0104020202020201040000000000000000000009,Menu04 L09 N049,file49</v>
      </c>
    </row>
    <row r="54" spans="3:71" x14ac:dyDescent="0.25">
      <c r="C54">
        <f t="shared" si="81"/>
        <v>50</v>
      </c>
      <c r="D54">
        <v>1</v>
      </c>
      <c r="E54">
        <f t="shared" si="101"/>
        <v>4</v>
      </c>
      <c r="F54">
        <f t="shared" si="102"/>
        <v>2</v>
      </c>
      <c r="G54">
        <f t="shared" si="103"/>
        <v>2</v>
      </c>
      <c r="H54">
        <f t="shared" si="104"/>
        <v>2</v>
      </c>
      <c r="I54">
        <f t="shared" si="105"/>
        <v>2</v>
      </c>
      <c r="J54">
        <f t="shared" si="110"/>
        <v>2</v>
      </c>
      <c r="K54">
        <f t="shared" si="111"/>
        <v>1</v>
      </c>
      <c r="L54">
        <v>5</v>
      </c>
      <c r="W54" t="s">
        <v>1</v>
      </c>
      <c r="X54" t="str">
        <f t="shared" si="82"/>
        <v>|</v>
      </c>
      <c r="Y54" t="str">
        <f t="shared" si="83"/>
        <v>|</v>
      </c>
      <c r="Z54" t="str">
        <f t="shared" si="84"/>
        <v>|</v>
      </c>
      <c r="AA54" t="str">
        <f t="shared" si="85"/>
        <v>|</v>
      </c>
      <c r="AB54" t="str">
        <f t="shared" si="86"/>
        <v>|</v>
      </c>
      <c r="AC54" t="str">
        <f t="shared" si="87"/>
        <v>|</v>
      </c>
      <c r="AD54" t="str">
        <f t="shared" si="88"/>
        <v>|</v>
      </c>
      <c r="AE54" t="str">
        <f t="shared" si="89"/>
        <v>└</v>
      </c>
      <c r="AF54" t="str">
        <f t="shared" si="90"/>
        <v>--</v>
      </c>
      <c r="AG54" t="str">
        <f t="shared" si="91"/>
        <v/>
      </c>
      <c r="AH54" t="str">
        <f t="shared" si="92"/>
        <v/>
      </c>
      <c r="AI54" t="str">
        <f t="shared" si="93"/>
        <v/>
      </c>
      <c r="AJ54" t="str">
        <f t="shared" si="94"/>
        <v/>
      </c>
      <c r="AK54" t="str">
        <f t="shared" si="95"/>
        <v/>
      </c>
      <c r="AL54" t="str">
        <f t="shared" si="96"/>
        <v/>
      </c>
      <c r="AM54" t="str">
        <f t="shared" si="97"/>
        <v/>
      </c>
      <c r="AN54" t="str">
        <f t="shared" si="98"/>
        <v/>
      </c>
      <c r="AO54" t="str">
        <f t="shared" si="99"/>
        <v/>
      </c>
      <c r="AP54" t="str">
        <f t="shared" si="100"/>
        <v/>
      </c>
      <c r="AQ54" t="s">
        <v>1</v>
      </c>
      <c r="AR54" t="str">
        <f t="shared" si="55"/>
        <v>050</v>
      </c>
      <c r="AS54" t="str">
        <f t="shared" si="106"/>
        <v>00</v>
      </c>
      <c r="AT54" t="str">
        <f t="shared" si="106"/>
        <v>00</v>
      </c>
      <c r="AU54" t="str">
        <f t="shared" si="106"/>
        <v>00</v>
      </c>
      <c r="AV54" t="str">
        <f t="shared" si="57"/>
        <v>01</v>
      </c>
      <c r="AW54" t="str">
        <f t="shared" si="58"/>
        <v>04</v>
      </c>
      <c r="AX54" t="str">
        <f t="shared" si="59"/>
        <v>02</v>
      </c>
      <c r="AY54" t="str">
        <f t="shared" si="60"/>
        <v>02</v>
      </c>
      <c r="AZ54" t="str">
        <f t="shared" si="61"/>
        <v>02</v>
      </c>
      <c r="BA54" t="str">
        <f t="shared" si="62"/>
        <v>02</v>
      </c>
      <c r="BB54" t="str">
        <f t="shared" si="63"/>
        <v>02</v>
      </c>
      <c r="BC54" t="str">
        <f t="shared" si="64"/>
        <v>01</v>
      </c>
      <c r="BD54" t="str">
        <f t="shared" si="65"/>
        <v>05</v>
      </c>
      <c r="BE54" t="str">
        <f t="shared" si="66"/>
        <v>00</v>
      </c>
      <c r="BF54" t="str">
        <f t="shared" si="67"/>
        <v>00</v>
      </c>
      <c r="BG54" t="str">
        <f t="shared" si="68"/>
        <v>00</v>
      </c>
      <c r="BH54" t="str">
        <f t="shared" si="69"/>
        <v>00</v>
      </c>
      <c r="BI54" t="str">
        <f t="shared" si="70"/>
        <v>00</v>
      </c>
      <c r="BJ54" t="str">
        <f t="shared" si="71"/>
        <v>00</v>
      </c>
      <c r="BK54" t="str">
        <f t="shared" si="72"/>
        <v>00</v>
      </c>
      <c r="BL54" t="str">
        <f t="shared" si="73"/>
        <v>00</v>
      </c>
      <c r="BM54" t="str">
        <f t="shared" si="74"/>
        <v>00</v>
      </c>
      <c r="BN54" t="str">
        <f t="shared" si="75"/>
        <v>00</v>
      </c>
      <c r="BO54" t="str">
        <f t="shared" si="76"/>
        <v>09</v>
      </c>
      <c r="BP54" t="str">
        <f t="shared" si="77"/>
        <v>0104020202020201050000000000000000000009</v>
      </c>
      <c r="BQ54" t="str">
        <f t="shared" si="80"/>
        <v>Menu04 L09 N050</v>
      </c>
      <c r="BR54" t="str">
        <f t="shared" si="107"/>
        <v>file50</v>
      </c>
      <c r="BS54" t="str">
        <f t="shared" si="79"/>
        <v>050,00,00,00,01,04,02,02,02,02,02,01,05,00,00,00,00,00,00,00,00,00,00,09,0104020202020201050000000000000000000009,Menu04 L09 N050,file50</v>
      </c>
    </row>
    <row r="55" spans="3:71" x14ac:dyDescent="0.25">
      <c r="C55">
        <f t="shared" si="81"/>
        <v>51</v>
      </c>
      <c r="D55">
        <v>1</v>
      </c>
      <c r="E55">
        <f t="shared" si="101"/>
        <v>4</v>
      </c>
      <c r="F55">
        <f t="shared" si="102"/>
        <v>2</v>
      </c>
      <c r="G55">
        <f t="shared" si="103"/>
        <v>2</v>
      </c>
      <c r="H55">
        <f t="shared" si="104"/>
        <v>2</v>
      </c>
      <c r="I55">
        <f t="shared" si="105"/>
        <v>2</v>
      </c>
      <c r="J55">
        <f t="shared" si="110"/>
        <v>2</v>
      </c>
      <c r="K55">
        <v>2</v>
      </c>
      <c r="W55" t="s">
        <v>1</v>
      </c>
      <c r="X55" t="str">
        <f t="shared" si="82"/>
        <v>|</v>
      </c>
      <c r="Y55" t="str">
        <f t="shared" si="83"/>
        <v>|</v>
      </c>
      <c r="Z55" t="str">
        <f t="shared" si="84"/>
        <v>|</v>
      </c>
      <c r="AA55" t="str">
        <f t="shared" si="85"/>
        <v>|</v>
      </c>
      <c r="AB55" t="str">
        <f t="shared" si="86"/>
        <v>|</v>
      </c>
      <c r="AC55" t="str">
        <f t="shared" si="87"/>
        <v>|</v>
      </c>
      <c r="AD55" t="str">
        <f t="shared" si="88"/>
        <v>└</v>
      </c>
      <c r="AE55" t="str">
        <f t="shared" si="89"/>
        <v>--</v>
      </c>
      <c r="AF55" t="str">
        <f t="shared" si="90"/>
        <v/>
      </c>
      <c r="AG55" t="str">
        <f t="shared" si="91"/>
        <v/>
      </c>
      <c r="AH55" t="str">
        <f t="shared" si="92"/>
        <v/>
      </c>
      <c r="AI55" t="str">
        <f t="shared" si="93"/>
        <v/>
      </c>
      <c r="AJ55" t="str">
        <f t="shared" si="94"/>
        <v/>
      </c>
      <c r="AK55" t="str">
        <f t="shared" si="95"/>
        <v/>
      </c>
      <c r="AL55" t="str">
        <f t="shared" si="96"/>
        <v/>
      </c>
      <c r="AM55" t="str">
        <f t="shared" si="97"/>
        <v/>
      </c>
      <c r="AN55" t="str">
        <f t="shared" si="98"/>
        <v/>
      </c>
      <c r="AO55" t="str">
        <f t="shared" si="99"/>
        <v/>
      </c>
      <c r="AP55" t="str">
        <f t="shared" si="100"/>
        <v/>
      </c>
      <c r="AQ55" t="s">
        <v>1</v>
      </c>
      <c r="AR55" t="str">
        <f t="shared" si="55"/>
        <v>051</v>
      </c>
      <c r="AS55" t="str">
        <f t="shared" si="106"/>
        <v>00</v>
      </c>
      <c r="AT55" t="str">
        <f t="shared" si="106"/>
        <v>00</v>
      </c>
      <c r="AU55" t="str">
        <f t="shared" si="106"/>
        <v>00</v>
      </c>
      <c r="AV55" t="str">
        <f t="shared" si="57"/>
        <v>01</v>
      </c>
      <c r="AW55" t="str">
        <f t="shared" si="58"/>
        <v>04</v>
      </c>
      <c r="AX55" t="str">
        <f t="shared" si="59"/>
        <v>02</v>
      </c>
      <c r="AY55" t="str">
        <f t="shared" si="60"/>
        <v>02</v>
      </c>
      <c r="AZ55" t="str">
        <f t="shared" si="61"/>
        <v>02</v>
      </c>
      <c r="BA55" t="str">
        <f t="shared" si="62"/>
        <v>02</v>
      </c>
      <c r="BB55" t="str">
        <f t="shared" si="63"/>
        <v>02</v>
      </c>
      <c r="BC55" t="str">
        <f t="shared" si="64"/>
        <v>02</v>
      </c>
      <c r="BD55" t="str">
        <f t="shared" si="65"/>
        <v>00</v>
      </c>
      <c r="BE55" t="str">
        <f t="shared" si="66"/>
        <v>00</v>
      </c>
      <c r="BF55" t="str">
        <f t="shared" si="67"/>
        <v>00</v>
      </c>
      <c r="BG55" t="str">
        <f t="shared" si="68"/>
        <v>00</v>
      </c>
      <c r="BH55" t="str">
        <f t="shared" si="69"/>
        <v>00</v>
      </c>
      <c r="BI55" t="str">
        <f t="shared" si="70"/>
        <v>00</v>
      </c>
      <c r="BJ55" t="str">
        <f t="shared" si="71"/>
        <v>00</v>
      </c>
      <c r="BK55" t="str">
        <f t="shared" si="72"/>
        <v>00</v>
      </c>
      <c r="BL55" t="str">
        <f t="shared" si="73"/>
        <v>00</v>
      </c>
      <c r="BM55" t="str">
        <f t="shared" si="74"/>
        <v>00</v>
      </c>
      <c r="BN55" t="str">
        <f t="shared" si="75"/>
        <v>00</v>
      </c>
      <c r="BO55" t="str">
        <f t="shared" si="76"/>
        <v>08</v>
      </c>
      <c r="BP55" t="str">
        <f t="shared" si="77"/>
        <v>0104020202020202000000000000000000000008</v>
      </c>
      <c r="BQ55" t="str">
        <f t="shared" si="80"/>
        <v>Menu04 L08 N051</v>
      </c>
      <c r="BR55" t="str">
        <f t="shared" si="107"/>
        <v>file51</v>
      </c>
      <c r="BS55" t="str">
        <f t="shared" si="79"/>
        <v>051,00,00,00,01,04,02,02,02,02,02,02,00,00,00,00,00,00,00,00,00,00,00,08,0104020202020202000000000000000000000008,Menu04 L08 N051,file51</v>
      </c>
    </row>
    <row r="56" spans="3:71" x14ac:dyDescent="0.25">
      <c r="C56">
        <f t="shared" si="81"/>
        <v>52</v>
      </c>
      <c r="D56">
        <v>1</v>
      </c>
      <c r="E56">
        <f t="shared" si="101"/>
        <v>4</v>
      </c>
      <c r="F56">
        <f t="shared" si="102"/>
        <v>2</v>
      </c>
      <c r="G56">
        <f t="shared" si="103"/>
        <v>2</v>
      </c>
      <c r="H56">
        <f t="shared" si="104"/>
        <v>2</v>
      </c>
      <c r="I56">
        <f t="shared" si="105"/>
        <v>2</v>
      </c>
      <c r="J56">
        <f t="shared" si="110"/>
        <v>2</v>
      </c>
      <c r="K56">
        <v>3</v>
      </c>
      <c r="W56" t="s">
        <v>1</v>
      </c>
      <c r="X56" t="str">
        <f t="shared" si="82"/>
        <v>|</v>
      </c>
      <c r="Y56" t="str">
        <f t="shared" si="83"/>
        <v>|</v>
      </c>
      <c r="Z56" t="str">
        <f t="shared" si="84"/>
        <v>|</v>
      </c>
      <c r="AA56" t="str">
        <f t="shared" si="85"/>
        <v>|</v>
      </c>
      <c r="AB56" t="str">
        <f t="shared" si="86"/>
        <v>|</v>
      </c>
      <c r="AC56" t="str">
        <f t="shared" si="87"/>
        <v>|</v>
      </c>
      <c r="AD56" t="str">
        <f t="shared" si="88"/>
        <v>└</v>
      </c>
      <c r="AE56" t="str">
        <f t="shared" si="89"/>
        <v>--</v>
      </c>
      <c r="AF56" t="str">
        <f t="shared" si="90"/>
        <v/>
      </c>
      <c r="AG56" t="str">
        <f t="shared" si="91"/>
        <v/>
      </c>
      <c r="AH56" t="str">
        <f t="shared" si="92"/>
        <v/>
      </c>
      <c r="AI56" t="str">
        <f t="shared" si="93"/>
        <v/>
      </c>
      <c r="AJ56" t="str">
        <f t="shared" si="94"/>
        <v/>
      </c>
      <c r="AK56" t="str">
        <f t="shared" si="95"/>
        <v/>
      </c>
      <c r="AL56" t="str">
        <f t="shared" si="96"/>
        <v/>
      </c>
      <c r="AM56" t="str">
        <f t="shared" si="97"/>
        <v/>
      </c>
      <c r="AN56" t="str">
        <f t="shared" si="98"/>
        <v/>
      </c>
      <c r="AO56" t="str">
        <f t="shared" si="99"/>
        <v/>
      </c>
      <c r="AP56" t="str">
        <f t="shared" si="100"/>
        <v/>
      </c>
      <c r="AQ56" t="s">
        <v>1</v>
      </c>
      <c r="AR56" t="str">
        <f t="shared" si="55"/>
        <v>052</v>
      </c>
      <c r="AS56" t="str">
        <f t="shared" si="106"/>
        <v>00</v>
      </c>
      <c r="AT56" t="str">
        <f t="shared" si="106"/>
        <v>00</v>
      </c>
      <c r="AU56" t="str">
        <f t="shared" si="106"/>
        <v>00</v>
      </c>
      <c r="AV56" t="str">
        <f t="shared" si="57"/>
        <v>01</v>
      </c>
      <c r="AW56" t="str">
        <f t="shared" si="58"/>
        <v>04</v>
      </c>
      <c r="AX56" t="str">
        <f t="shared" si="59"/>
        <v>02</v>
      </c>
      <c r="AY56" t="str">
        <f t="shared" si="60"/>
        <v>02</v>
      </c>
      <c r="AZ56" t="str">
        <f t="shared" si="61"/>
        <v>02</v>
      </c>
      <c r="BA56" t="str">
        <f t="shared" si="62"/>
        <v>02</v>
      </c>
      <c r="BB56" t="str">
        <f t="shared" si="63"/>
        <v>02</v>
      </c>
      <c r="BC56" t="str">
        <f t="shared" si="64"/>
        <v>03</v>
      </c>
      <c r="BD56" t="str">
        <f t="shared" si="65"/>
        <v>00</v>
      </c>
      <c r="BE56" t="str">
        <f t="shared" si="66"/>
        <v>00</v>
      </c>
      <c r="BF56" t="str">
        <f t="shared" si="67"/>
        <v>00</v>
      </c>
      <c r="BG56" t="str">
        <f t="shared" si="68"/>
        <v>00</v>
      </c>
      <c r="BH56" t="str">
        <f t="shared" si="69"/>
        <v>00</v>
      </c>
      <c r="BI56" t="str">
        <f t="shared" si="70"/>
        <v>00</v>
      </c>
      <c r="BJ56" t="str">
        <f t="shared" si="71"/>
        <v>00</v>
      </c>
      <c r="BK56" t="str">
        <f t="shared" si="72"/>
        <v>00</v>
      </c>
      <c r="BL56" t="str">
        <f t="shared" si="73"/>
        <v>00</v>
      </c>
      <c r="BM56" t="str">
        <f t="shared" si="74"/>
        <v>00</v>
      </c>
      <c r="BN56" t="str">
        <f t="shared" si="75"/>
        <v>00</v>
      </c>
      <c r="BO56" t="str">
        <f t="shared" si="76"/>
        <v>08</v>
      </c>
      <c r="BP56" t="str">
        <f t="shared" si="77"/>
        <v>0104020202020203000000000000000000000008</v>
      </c>
      <c r="BQ56" t="str">
        <f t="shared" si="80"/>
        <v>Menu04 L08 N052</v>
      </c>
      <c r="BR56" t="str">
        <f t="shared" si="107"/>
        <v>file52</v>
      </c>
      <c r="BS56" t="str">
        <f t="shared" si="79"/>
        <v>052,00,00,00,01,04,02,02,02,02,02,03,00,00,00,00,00,00,00,00,00,00,00,08,0104020202020203000000000000000000000008,Menu04 L08 N052,file52</v>
      </c>
    </row>
    <row r="57" spans="3:71" x14ac:dyDescent="0.25">
      <c r="C57">
        <f t="shared" si="81"/>
        <v>53</v>
      </c>
      <c r="D57">
        <v>1</v>
      </c>
      <c r="E57">
        <v>4</v>
      </c>
      <c r="F57">
        <v>2</v>
      </c>
      <c r="G57">
        <v>2</v>
      </c>
      <c r="H57">
        <v>2</v>
      </c>
      <c r="I57">
        <v>2</v>
      </c>
      <c r="J57">
        <v>2</v>
      </c>
      <c r="K57">
        <v>4</v>
      </c>
      <c r="L57">
        <v>0</v>
      </c>
      <c r="W57" t="s">
        <v>1</v>
      </c>
      <c r="X57" t="str">
        <f t="shared" si="82"/>
        <v>|</v>
      </c>
      <c r="Y57" t="str">
        <f t="shared" si="83"/>
        <v>|</v>
      </c>
      <c r="Z57" t="str">
        <f t="shared" si="84"/>
        <v>|</v>
      </c>
      <c r="AA57" t="str">
        <f t="shared" si="85"/>
        <v>|</v>
      </c>
      <c r="AB57" t="str">
        <f t="shared" si="86"/>
        <v>|</v>
      </c>
      <c r="AC57" t="str">
        <f t="shared" si="87"/>
        <v>|</v>
      </c>
      <c r="AD57" t="str">
        <f t="shared" si="88"/>
        <v>└</v>
      </c>
      <c r="AE57" t="str">
        <f t="shared" si="89"/>
        <v>--</v>
      </c>
      <c r="AF57" t="str">
        <f t="shared" si="90"/>
        <v/>
      </c>
      <c r="AG57" t="str">
        <f t="shared" si="91"/>
        <v/>
      </c>
      <c r="AH57" t="str">
        <f t="shared" si="92"/>
        <v/>
      </c>
      <c r="AI57" t="str">
        <f t="shared" si="93"/>
        <v/>
      </c>
      <c r="AJ57" t="str">
        <f t="shared" si="94"/>
        <v/>
      </c>
      <c r="AK57" t="str">
        <f t="shared" si="95"/>
        <v/>
      </c>
      <c r="AL57" t="str">
        <f t="shared" si="96"/>
        <v/>
      </c>
      <c r="AM57" t="str">
        <f t="shared" si="97"/>
        <v/>
      </c>
      <c r="AN57" t="str">
        <f t="shared" si="98"/>
        <v/>
      </c>
      <c r="AO57" t="str">
        <f t="shared" si="99"/>
        <v/>
      </c>
      <c r="AP57" t="str">
        <f t="shared" si="100"/>
        <v/>
      </c>
      <c r="AQ57" t="s">
        <v>1</v>
      </c>
      <c r="AR57" t="str">
        <f t="shared" si="55"/>
        <v>053</v>
      </c>
      <c r="AS57" t="str">
        <f t="shared" si="106"/>
        <v>00</v>
      </c>
      <c r="AT57" t="str">
        <f t="shared" si="106"/>
        <v>00</v>
      </c>
      <c r="AU57" t="str">
        <f t="shared" si="106"/>
        <v>00</v>
      </c>
      <c r="AV57" t="str">
        <f t="shared" si="57"/>
        <v>01</v>
      </c>
      <c r="AW57" t="str">
        <f t="shared" si="58"/>
        <v>04</v>
      </c>
      <c r="AX57" t="str">
        <f t="shared" si="59"/>
        <v>02</v>
      </c>
      <c r="AY57" t="str">
        <f t="shared" si="60"/>
        <v>02</v>
      </c>
      <c r="AZ57" t="str">
        <f t="shared" si="61"/>
        <v>02</v>
      </c>
      <c r="BA57" t="str">
        <f t="shared" si="62"/>
        <v>02</v>
      </c>
      <c r="BB57" t="str">
        <f t="shared" si="63"/>
        <v>02</v>
      </c>
      <c r="BC57" t="str">
        <f t="shared" si="64"/>
        <v>04</v>
      </c>
      <c r="BD57" t="str">
        <f t="shared" si="65"/>
        <v>00</v>
      </c>
      <c r="BE57" t="str">
        <f t="shared" si="66"/>
        <v>00</v>
      </c>
      <c r="BF57" t="str">
        <f t="shared" si="67"/>
        <v>00</v>
      </c>
      <c r="BG57" t="str">
        <f t="shared" si="68"/>
        <v>00</v>
      </c>
      <c r="BH57" t="str">
        <f t="shared" si="69"/>
        <v>00</v>
      </c>
      <c r="BI57" t="str">
        <f t="shared" si="70"/>
        <v>00</v>
      </c>
      <c r="BJ57" t="str">
        <f t="shared" si="71"/>
        <v>00</v>
      </c>
      <c r="BK57" t="str">
        <f t="shared" si="72"/>
        <v>00</v>
      </c>
      <c r="BL57" t="str">
        <f t="shared" si="73"/>
        <v>00</v>
      </c>
      <c r="BM57" t="str">
        <f t="shared" si="74"/>
        <v>00</v>
      </c>
      <c r="BN57" t="str">
        <f t="shared" si="75"/>
        <v>00</v>
      </c>
      <c r="BO57" t="str">
        <f t="shared" si="76"/>
        <v>08</v>
      </c>
      <c r="BP57" t="str">
        <f t="shared" si="77"/>
        <v>0104020202020204000000000000000000000008</v>
      </c>
      <c r="BQ57" t="str">
        <f t="shared" si="80"/>
        <v>Menu04 L08 N053</v>
      </c>
      <c r="BR57" t="str">
        <f t="shared" si="107"/>
        <v>file53</v>
      </c>
      <c r="BS57" t="str">
        <f t="shared" si="79"/>
        <v>053,00,00,00,01,04,02,02,02,02,02,04,00,00,00,00,00,00,00,00,00,00,00,08,0104020202020204000000000000000000000008,Menu04 L08 N053,file53</v>
      </c>
    </row>
    <row r="58" spans="3:71" x14ac:dyDescent="0.25">
      <c r="C58">
        <f t="shared" si="81"/>
        <v>54</v>
      </c>
      <c r="D58">
        <v>1</v>
      </c>
      <c r="E58">
        <f t="shared" ref="E58:J58" si="115">E56</f>
        <v>4</v>
      </c>
      <c r="F58">
        <f t="shared" si="115"/>
        <v>2</v>
      </c>
      <c r="G58">
        <f t="shared" si="115"/>
        <v>2</v>
      </c>
      <c r="H58">
        <f t="shared" si="115"/>
        <v>2</v>
      </c>
      <c r="I58">
        <f t="shared" si="115"/>
        <v>2</v>
      </c>
      <c r="J58">
        <f t="shared" si="115"/>
        <v>2</v>
      </c>
      <c r="K58">
        <v>4</v>
      </c>
      <c r="L58">
        <v>1</v>
      </c>
      <c r="W58" t="s">
        <v>1</v>
      </c>
      <c r="X58" t="str">
        <f t="shared" si="82"/>
        <v>|</v>
      </c>
      <c r="Y58" t="str">
        <f t="shared" si="83"/>
        <v>|</v>
      </c>
      <c r="Z58" t="str">
        <f t="shared" si="84"/>
        <v>|</v>
      </c>
      <c r="AA58" t="str">
        <f t="shared" si="85"/>
        <v>|</v>
      </c>
      <c r="AB58" t="str">
        <f t="shared" si="86"/>
        <v>|</v>
      </c>
      <c r="AC58" t="str">
        <f t="shared" si="87"/>
        <v>|</v>
      </c>
      <c r="AD58" t="str">
        <f t="shared" si="88"/>
        <v>|</v>
      </c>
      <c r="AE58" t="str">
        <f t="shared" si="89"/>
        <v>└</v>
      </c>
      <c r="AF58" t="str">
        <f t="shared" si="90"/>
        <v>--</v>
      </c>
      <c r="AG58" t="str">
        <f t="shared" si="91"/>
        <v/>
      </c>
      <c r="AH58" t="str">
        <f t="shared" si="92"/>
        <v/>
      </c>
      <c r="AI58" t="str">
        <f t="shared" si="93"/>
        <v/>
      </c>
      <c r="AJ58" t="str">
        <f t="shared" si="94"/>
        <v/>
      </c>
      <c r="AK58" t="str">
        <f t="shared" si="95"/>
        <v/>
      </c>
      <c r="AL58" t="str">
        <f t="shared" si="96"/>
        <v/>
      </c>
      <c r="AM58" t="str">
        <f t="shared" si="97"/>
        <v/>
      </c>
      <c r="AN58" t="str">
        <f t="shared" si="98"/>
        <v/>
      </c>
      <c r="AO58" t="str">
        <f t="shared" si="99"/>
        <v/>
      </c>
      <c r="AP58" t="str">
        <f t="shared" si="100"/>
        <v/>
      </c>
      <c r="AQ58" t="s">
        <v>1</v>
      </c>
      <c r="AR58" t="str">
        <f t="shared" si="55"/>
        <v>054</v>
      </c>
      <c r="AS58" t="str">
        <f t="shared" si="106"/>
        <v>00</v>
      </c>
      <c r="AT58" t="str">
        <f t="shared" si="106"/>
        <v>00</v>
      </c>
      <c r="AU58" t="str">
        <f t="shared" si="106"/>
        <v>00</v>
      </c>
      <c r="AV58" t="str">
        <f t="shared" si="57"/>
        <v>01</v>
      </c>
      <c r="AW58" t="str">
        <f t="shared" si="58"/>
        <v>04</v>
      </c>
      <c r="AX58" t="str">
        <f t="shared" si="59"/>
        <v>02</v>
      </c>
      <c r="AY58" t="str">
        <f t="shared" si="60"/>
        <v>02</v>
      </c>
      <c r="AZ58" t="str">
        <f t="shared" si="61"/>
        <v>02</v>
      </c>
      <c r="BA58" t="str">
        <f t="shared" si="62"/>
        <v>02</v>
      </c>
      <c r="BB58" t="str">
        <f t="shared" si="63"/>
        <v>02</v>
      </c>
      <c r="BC58" t="str">
        <f t="shared" si="64"/>
        <v>04</v>
      </c>
      <c r="BD58" t="str">
        <f t="shared" si="65"/>
        <v>01</v>
      </c>
      <c r="BE58" t="str">
        <f t="shared" si="66"/>
        <v>00</v>
      </c>
      <c r="BF58" t="str">
        <f t="shared" si="67"/>
        <v>00</v>
      </c>
      <c r="BG58" t="str">
        <f t="shared" si="68"/>
        <v>00</v>
      </c>
      <c r="BH58" t="str">
        <f t="shared" si="69"/>
        <v>00</v>
      </c>
      <c r="BI58" t="str">
        <f t="shared" si="70"/>
        <v>00</v>
      </c>
      <c r="BJ58" t="str">
        <f t="shared" si="71"/>
        <v>00</v>
      </c>
      <c r="BK58" t="str">
        <f t="shared" si="72"/>
        <v>00</v>
      </c>
      <c r="BL58" t="str">
        <f t="shared" si="73"/>
        <v>00</v>
      </c>
      <c r="BM58" t="str">
        <f t="shared" si="74"/>
        <v>00</v>
      </c>
      <c r="BN58" t="str">
        <f t="shared" si="75"/>
        <v>00</v>
      </c>
      <c r="BO58" t="str">
        <f t="shared" si="76"/>
        <v>09</v>
      </c>
      <c r="BP58" t="str">
        <f t="shared" si="77"/>
        <v>0104020202020204010000000000000000000009</v>
      </c>
      <c r="BQ58" t="str">
        <f t="shared" si="80"/>
        <v>Menu04 L09 N054</v>
      </c>
      <c r="BR58" t="str">
        <f t="shared" si="107"/>
        <v>file54</v>
      </c>
      <c r="BS58" t="str">
        <f t="shared" si="79"/>
        <v>054,00,00,00,01,04,02,02,02,02,02,04,01,00,00,00,00,00,00,00,00,00,00,09,0104020202020204010000000000000000000009,Menu04 L09 N054,file54</v>
      </c>
    </row>
    <row r="59" spans="3:71" x14ac:dyDescent="0.25">
      <c r="C59">
        <f t="shared" si="81"/>
        <v>55</v>
      </c>
      <c r="D59">
        <v>1</v>
      </c>
      <c r="E59">
        <f t="shared" si="101"/>
        <v>4</v>
      </c>
      <c r="F59">
        <f t="shared" si="102"/>
        <v>2</v>
      </c>
      <c r="G59">
        <f t="shared" si="103"/>
        <v>2</v>
      </c>
      <c r="H59">
        <f t="shared" si="104"/>
        <v>2</v>
      </c>
      <c r="I59">
        <f t="shared" si="105"/>
        <v>2</v>
      </c>
      <c r="J59">
        <f t="shared" si="110"/>
        <v>2</v>
      </c>
      <c r="K59">
        <v>4</v>
      </c>
      <c r="L59">
        <v>2</v>
      </c>
      <c r="W59" t="s">
        <v>1</v>
      </c>
      <c r="X59" t="str">
        <f t="shared" si="82"/>
        <v>|</v>
      </c>
      <c r="Y59" t="str">
        <f t="shared" si="83"/>
        <v>|</v>
      </c>
      <c r="Z59" t="str">
        <f t="shared" si="84"/>
        <v>|</v>
      </c>
      <c r="AA59" t="str">
        <f t="shared" si="85"/>
        <v>|</v>
      </c>
      <c r="AB59" t="str">
        <f t="shared" si="86"/>
        <v>|</v>
      </c>
      <c r="AC59" t="str">
        <f t="shared" si="87"/>
        <v>|</v>
      </c>
      <c r="AD59" t="str">
        <f t="shared" si="88"/>
        <v>|</v>
      </c>
      <c r="AE59" t="str">
        <f t="shared" si="89"/>
        <v>└</v>
      </c>
      <c r="AF59" t="str">
        <f t="shared" si="90"/>
        <v>--</v>
      </c>
      <c r="AG59" t="str">
        <f t="shared" si="91"/>
        <v/>
      </c>
      <c r="AH59" t="str">
        <f t="shared" si="92"/>
        <v/>
      </c>
      <c r="AI59" t="str">
        <f t="shared" si="93"/>
        <v/>
      </c>
      <c r="AJ59" t="str">
        <f t="shared" si="94"/>
        <v/>
      </c>
      <c r="AK59" t="str">
        <f t="shared" si="95"/>
        <v/>
      </c>
      <c r="AL59" t="str">
        <f t="shared" si="96"/>
        <v/>
      </c>
      <c r="AM59" t="str">
        <f t="shared" si="97"/>
        <v/>
      </c>
      <c r="AN59" t="str">
        <f t="shared" si="98"/>
        <v/>
      </c>
      <c r="AO59" t="str">
        <f t="shared" si="99"/>
        <v/>
      </c>
      <c r="AP59" t="str">
        <f t="shared" si="100"/>
        <v/>
      </c>
      <c r="AQ59" t="s">
        <v>1</v>
      </c>
      <c r="AR59" t="str">
        <f t="shared" si="55"/>
        <v>055</v>
      </c>
      <c r="AS59" t="str">
        <f t="shared" si="106"/>
        <v>00</v>
      </c>
      <c r="AT59" t="str">
        <f t="shared" si="106"/>
        <v>00</v>
      </c>
      <c r="AU59" t="str">
        <f t="shared" si="106"/>
        <v>00</v>
      </c>
      <c r="AV59" t="str">
        <f t="shared" si="57"/>
        <v>01</v>
      </c>
      <c r="AW59" t="str">
        <f t="shared" si="58"/>
        <v>04</v>
      </c>
      <c r="AX59" t="str">
        <f t="shared" si="59"/>
        <v>02</v>
      </c>
      <c r="AY59" t="str">
        <f t="shared" si="60"/>
        <v>02</v>
      </c>
      <c r="AZ59" t="str">
        <f t="shared" si="61"/>
        <v>02</v>
      </c>
      <c r="BA59" t="str">
        <f t="shared" si="62"/>
        <v>02</v>
      </c>
      <c r="BB59" t="str">
        <f t="shared" si="63"/>
        <v>02</v>
      </c>
      <c r="BC59" t="str">
        <f t="shared" si="64"/>
        <v>04</v>
      </c>
      <c r="BD59" t="str">
        <f t="shared" si="65"/>
        <v>02</v>
      </c>
      <c r="BE59" t="str">
        <f t="shared" si="66"/>
        <v>00</v>
      </c>
      <c r="BF59" t="str">
        <f t="shared" si="67"/>
        <v>00</v>
      </c>
      <c r="BG59" t="str">
        <f t="shared" si="68"/>
        <v>00</v>
      </c>
      <c r="BH59" t="str">
        <f t="shared" si="69"/>
        <v>00</v>
      </c>
      <c r="BI59" t="str">
        <f t="shared" si="70"/>
        <v>00</v>
      </c>
      <c r="BJ59" t="str">
        <f t="shared" si="71"/>
        <v>00</v>
      </c>
      <c r="BK59" t="str">
        <f t="shared" si="72"/>
        <v>00</v>
      </c>
      <c r="BL59" t="str">
        <f t="shared" si="73"/>
        <v>00</v>
      </c>
      <c r="BM59" t="str">
        <f t="shared" si="74"/>
        <v>00</v>
      </c>
      <c r="BN59" t="str">
        <f t="shared" si="75"/>
        <v>00</v>
      </c>
      <c r="BO59" t="str">
        <f t="shared" si="76"/>
        <v>09</v>
      </c>
      <c r="BP59" t="str">
        <f t="shared" si="77"/>
        <v>0104020202020204020000000000000000000009</v>
      </c>
      <c r="BQ59" t="str">
        <f t="shared" si="80"/>
        <v>Menu04 L09 N055</v>
      </c>
      <c r="BR59" t="str">
        <f t="shared" si="107"/>
        <v>file55</v>
      </c>
      <c r="BS59" t="str">
        <f t="shared" si="79"/>
        <v>055,00,00,00,01,04,02,02,02,02,02,04,02,00,00,00,00,00,00,00,00,00,00,09,0104020202020204020000000000000000000009,Menu04 L09 N055,file55</v>
      </c>
    </row>
    <row r="60" spans="3:71" x14ac:dyDescent="0.25">
      <c r="C60">
        <f t="shared" si="81"/>
        <v>56</v>
      </c>
      <c r="D60">
        <v>1</v>
      </c>
      <c r="E60">
        <f t="shared" si="101"/>
        <v>4</v>
      </c>
      <c r="F60">
        <f t="shared" si="102"/>
        <v>2</v>
      </c>
      <c r="G60">
        <f t="shared" si="103"/>
        <v>2</v>
      </c>
      <c r="H60">
        <f t="shared" si="104"/>
        <v>2</v>
      </c>
      <c r="I60">
        <f t="shared" si="105"/>
        <v>2</v>
      </c>
      <c r="J60">
        <v>3</v>
      </c>
      <c r="W60" t="s">
        <v>1</v>
      </c>
      <c r="X60" t="str">
        <f t="shared" si="82"/>
        <v>|</v>
      </c>
      <c r="Y60" t="str">
        <f t="shared" si="83"/>
        <v>|</v>
      </c>
      <c r="Z60" t="str">
        <f t="shared" si="84"/>
        <v>|</v>
      </c>
      <c r="AA60" t="str">
        <f t="shared" si="85"/>
        <v>|</v>
      </c>
      <c r="AB60" t="str">
        <f t="shared" si="86"/>
        <v>|</v>
      </c>
      <c r="AC60" t="str">
        <f t="shared" si="87"/>
        <v>└</v>
      </c>
      <c r="AD60" t="str">
        <f t="shared" si="88"/>
        <v>--</v>
      </c>
      <c r="AE60" t="str">
        <f t="shared" si="89"/>
        <v/>
      </c>
      <c r="AF60" t="str">
        <f t="shared" si="90"/>
        <v/>
      </c>
      <c r="AG60" t="str">
        <f t="shared" si="91"/>
        <v/>
      </c>
      <c r="AH60" t="str">
        <f t="shared" si="92"/>
        <v/>
      </c>
      <c r="AI60" t="str">
        <f t="shared" si="93"/>
        <v/>
      </c>
      <c r="AJ60" t="str">
        <f t="shared" si="94"/>
        <v/>
      </c>
      <c r="AK60" t="str">
        <f t="shared" si="95"/>
        <v/>
      </c>
      <c r="AL60" t="str">
        <f t="shared" si="96"/>
        <v/>
      </c>
      <c r="AM60" t="str">
        <f t="shared" si="97"/>
        <v/>
      </c>
      <c r="AN60" t="str">
        <f t="shared" si="98"/>
        <v/>
      </c>
      <c r="AO60" t="str">
        <f t="shared" si="99"/>
        <v/>
      </c>
      <c r="AP60" t="str">
        <f t="shared" si="100"/>
        <v/>
      </c>
      <c r="AQ60" t="s">
        <v>1</v>
      </c>
      <c r="AR60" t="str">
        <f t="shared" si="55"/>
        <v>056</v>
      </c>
      <c r="AS60" t="str">
        <f t="shared" si="106"/>
        <v>00</v>
      </c>
      <c r="AT60" t="str">
        <f t="shared" si="106"/>
        <v>00</v>
      </c>
      <c r="AU60" t="str">
        <f t="shared" si="106"/>
        <v>00</v>
      </c>
      <c r="AV60" t="str">
        <f t="shared" si="57"/>
        <v>01</v>
      </c>
      <c r="AW60" t="str">
        <f t="shared" si="58"/>
        <v>04</v>
      </c>
      <c r="AX60" t="str">
        <f t="shared" si="59"/>
        <v>02</v>
      </c>
      <c r="AY60" t="str">
        <f t="shared" si="60"/>
        <v>02</v>
      </c>
      <c r="AZ60" t="str">
        <f t="shared" si="61"/>
        <v>02</v>
      </c>
      <c r="BA60" t="str">
        <f t="shared" si="62"/>
        <v>02</v>
      </c>
      <c r="BB60" t="str">
        <f t="shared" si="63"/>
        <v>03</v>
      </c>
      <c r="BC60" t="str">
        <f t="shared" si="64"/>
        <v>00</v>
      </c>
      <c r="BD60" t="str">
        <f t="shared" si="65"/>
        <v>00</v>
      </c>
      <c r="BE60" t="str">
        <f t="shared" si="66"/>
        <v>00</v>
      </c>
      <c r="BF60" t="str">
        <f t="shared" si="67"/>
        <v>00</v>
      </c>
      <c r="BG60" t="str">
        <f t="shared" si="68"/>
        <v>00</v>
      </c>
      <c r="BH60" t="str">
        <f t="shared" si="69"/>
        <v>00</v>
      </c>
      <c r="BI60" t="str">
        <f t="shared" si="70"/>
        <v>00</v>
      </c>
      <c r="BJ60" t="str">
        <f t="shared" si="71"/>
        <v>00</v>
      </c>
      <c r="BK60" t="str">
        <f t="shared" si="72"/>
        <v>00</v>
      </c>
      <c r="BL60" t="str">
        <f t="shared" si="73"/>
        <v>00</v>
      </c>
      <c r="BM60" t="str">
        <f t="shared" si="74"/>
        <v>00</v>
      </c>
      <c r="BN60" t="str">
        <f t="shared" si="75"/>
        <v>00</v>
      </c>
      <c r="BO60" t="str">
        <f t="shared" si="76"/>
        <v>07</v>
      </c>
      <c r="BP60" t="str">
        <f t="shared" si="77"/>
        <v>0104020202020300000000000000000000000007</v>
      </c>
      <c r="BQ60" t="str">
        <f t="shared" si="80"/>
        <v>Menu04 L07 N056</v>
      </c>
      <c r="BR60" t="str">
        <f t="shared" si="107"/>
        <v>file56</v>
      </c>
      <c r="BS60" t="str">
        <f t="shared" si="79"/>
        <v>056,00,00,00,01,04,02,02,02,02,03,00,00,00,00,00,00,00,00,00,00,00,00,07,0104020202020300000000000000000000000007,Menu04 L07 N056,file56</v>
      </c>
    </row>
    <row r="61" spans="3:71" x14ac:dyDescent="0.25">
      <c r="C61">
        <f t="shared" si="81"/>
        <v>57</v>
      </c>
      <c r="D61">
        <v>1</v>
      </c>
      <c r="E61">
        <f t="shared" si="101"/>
        <v>4</v>
      </c>
      <c r="F61">
        <f t="shared" si="102"/>
        <v>2</v>
      </c>
      <c r="G61">
        <f t="shared" si="103"/>
        <v>2</v>
      </c>
      <c r="H61">
        <f t="shared" si="104"/>
        <v>2</v>
      </c>
      <c r="I61">
        <f t="shared" si="105"/>
        <v>2</v>
      </c>
      <c r="J61">
        <v>4</v>
      </c>
      <c r="W61" t="s">
        <v>1</v>
      </c>
      <c r="X61" t="str">
        <f t="shared" si="82"/>
        <v>|</v>
      </c>
      <c r="Y61" t="str">
        <f t="shared" si="83"/>
        <v>|</v>
      </c>
      <c r="Z61" t="str">
        <f t="shared" si="84"/>
        <v>|</v>
      </c>
      <c r="AA61" t="str">
        <f t="shared" si="85"/>
        <v>|</v>
      </c>
      <c r="AB61" t="str">
        <f t="shared" si="86"/>
        <v>|</v>
      </c>
      <c r="AC61" t="str">
        <f t="shared" si="87"/>
        <v>└</v>
      </c>
      <c r="AD61" t="str">
        <f t="shared" si="88"/>
        <v>--</v>
      </c>
      <c r="AE61" t="str">
        <f t="shared" si="89"/>
        <v/>
      </c>
      <c r="AF61" t="str">
        <f t="shared" si="90"/>
        <v/>
      </c>
      <c r="AG61" t="str">
        <f t="shared" si="91"/>
        <v/>
      </c>
      <c r="AH61" t="str">
        <f t="shared" si="92"/>
        <v/>
      </c>
      <c r="AI61" t="str">
        <f t="shared" si="93"/>
        <v/>
      </c>
      <c r="AJ61" t="str">
        <f t="shared" si="94"/>
        <v/>
      </c>
      <c r="AK61" t="str">
        <f t="shared" si="95"/>
        <v/>
      </c>
      <c r="AL61" t="str">
        <f t="shared" si="96"/>
        <v/>
      </c>
      <c r="AM61" t="str">
        <f t="shared" si="97"/>
        <v/>
      </c>
      <c r="AN61" t="str">
        <f t="shared" si="98"/>
        <v/>
      </c>
      <c r="AO61" t="str">
        <f t="shared" si="99"/>
        <v/>
      </c>
      <c r="AP61" t="str">
        <f t="shared" si="100"/>
        <v/>
      </c>
      <c r="AQ61" t="s">
        <v>1</v>
      </c>
      <c r="AR61" t="str">
        <f t="shared" si="55"/>
        <v>057</v>
      </c>
      <c r="AS61" t="str">
        <f t="shared" si="106"/>
        <v>00</v>
      </c>
      <c r="AT61" t="str">
        <f t="shared" si="106"/>
        <v>00</v>
      </c>
      <c r="AU61" t="str">
        <f t="shared" si="106"/>
        <v>00</v>
      </c>
      <c r="AV61" t="str">
        <f t="shared" si="57"/>
        <v>01</v>
      </c>
      <c r="AW61" t="str">
        <f t="shared" si="58"/>
        <v>04</v>
      </c>
      <c r="AX61" t="str">
        <f t="shared" si="59"/>
        <v>02</v>
      </c>
      <c r="AY61" t="str">
        <f t="shared" si="60"/>
        <v>02</v>
      </c>
      <c r="AZ61" t="str">
        <f t="shared" si="61"/>
        <v>02</v>
      </c>
      <c r="BA61" t="str">
        <f t="shared" si="62"/>
        <v>02</v>
      </c>
      <c r="BB61" t="str">
        <f t="shared" si="63"/>
        <v>04</v>
      </c>
      <c r="BC61" t="str">
        <f t="shared" si="64"/>
        <v>00</v>
      </c>
      <c r="BD61" t="str">
        <f t="shared" si="65"/>
        <v>00</v>
      </c>
      <c r="BE61" t="str">
        <f t="shared" si="66"/>
        <v>00</v>
      </c>
      <c r="BF61" t="str">
        <f t="shared" si="67"/>
        <v>00</v>
      </c>
      <c r="BG61" t="str">
        <f t="shared" si="68"/>
        <v>00</v>
      </c>
      <c r="BH61" t="str">
        <f t="shared" si="69"/>
        <v>00</v>
      </c>
      <c r="BI61" t="str">
        <f t="shared" si="70"/>
        <v>00</v>
      </c>
      <c r="BJ61" t="str">
        <f t="shared" si="71"/>
        <v>00</v>
      </c>
      <c r="BK61" t="str">
        <f t="shared" si="72"/>
        <v>00</v>
      </c>
      <c r="BL61" t="str">
        <f t="shared" si="73"/>
        <v>00</v>
      </c>
      <c r="BM61" t="str">
        <f t="shared" si="74"/>
        <v>00</v>
      </c>
      <c r="BN61" t="str">
        <f t="shared" si="75"/>
        <v>00</v>
      </c>
      <c r="BO61" t="str">
        <f t="shared" si="76"/>
        <v>07</v>
      </c>
      <c r="BP61" t="str">
        <f t="shared" si="77"/>
        <v>0104020202020400000000000000000000000007</v>
      </c>
      <c r="BQ61" t="str">
        <f t="shared" si="80"/>
        <v>Menu04 L07 N057</v>
      </c>
      <c r="BR61" t="str">
        <f t="shared" si="107"/>
        <v>file57</v>
      </c>
      <c r="BS61" t="str">
        <f t="shared" si="79"/>
        <v>057,00,00,00,01,04,02,02,02,02,04,00,00,00,00,00,00,00,00,00,00,00,00,07,0104020202020400000000000000000000000007,Menu04 L07 N057,file57</v>
      </c>
    </row>
    <row r="62" spans="3:71" x14ac:dyDescent="0.25">
      <c r="C62">
        <f t="shared" si="81"/>
        <v>58</v>
      </c>
      <c r="D62">
        <v>1</v>
      </c>
      <c r="E62">
        <f t="shared" si="101"/>
        <v>4</v>
      </c>
      <c r="F62">
        <f t="shared" si="102"/>
        <v>2</v>
      </c>
      <c r="G62">
        <f t="shared" si="103"/>
        <v>2</v>
      </c>
      <c r="H62">
        <f t="shared" si="104"/>
        <v>2</v>
      </c>
      <c r="I62">
        <v>3</v>
      </c>
      <c r="W62" t="s">
        <v>1</v>
      </c>
      <c r="X62" t="str">
        <f t="shared" si="82"/>
        <v>|</v>
      </c>
      <c r="Y62" t="str">
        <f t="shared" si="83"/>
        <v>|</v>
      </c>
      <c r="Z62" t="str">
        <f t="shared" si="84"/>
        <v>|</v>
      </c>
      <c r="AA62" t="str">
        <f t="shared" si="85"/>
        <v>|</v>
      </c>
      <c r="AB62" t="str">
        <f t="shared" si="86"/>
        <v>└</v>
      </c>
      <c r="AC62" t="str">
        <f t="shared" si="87"/>
        <v>--</v>
      </c>
      <c r="AD62" t="str">
        <f t="shared" si="88"/>
        <v/>
      </c>
      <c r="AE62" t="str">
        <f t="shared" si="89"/>
        <v/>
      </c>
      <c r="AF62" t="str">
        <f t="shared" si="90"/>
        <v/>
      </c>
      <c r="AG62" t="str">
        <f t="shared" si="91"/>
        <v/>
      </c>
      <c r="AH62" t="str">
        <f t="shared" si="92"/>
        <v/>
      </c>
      <c r="AI62" t="str">
        <f t="shared" si="93"/>
        <v/>
      </c>
      <c r="AJ62" t="str">
        <f t="shared" si="94"/>
        <v/>
      </c>
      <c r="AK62" t="str">
        <f t="shared" si="95"/>
        <v/>
      </c>
      <c r="AL62" t="str">
        <f t="shared" si="96"/>
        <v/>
      </c>
      <c r="AM62" t="str">
        <f t="shared" si="97"/>
        <v/>
      </c>
      <c r="AN62" t="str">
        <f t="shared" si="98"/>
        <v/>
      </c>
      <c r="AO62" t="str">
        <f t="shared" si="99"/>
        <v/>
      </c>
      <c r="AP62" t="str">
        <f t="shared" si="100"/>
        <v/>
      </c>
      <c r="AQ62" t="s">
        <v>1</v>
      </c>
      <c r="AR62" t="str">
        <f t="shared" si="55"/>
        <v>058</v>
      </c>
      <c r="AS62" t="str">
        <f t="shared" si="106"/>
        <v>00</v>
      </c>
      <c r="AT62" t="str">
        <f t="shared" si="106"/>
        <v>00</v>
      </c>
      <c r="AU62" t="str">
        <f t="shared" si="106"/>
        <v>00</v>
      </c>
      <c r="AV62" t="str">
        <f t="shared" si="57"/>
        <v>01</v>
      </c>
      <c r="AW62" t="str">
        <f t="shared" si="58"/>
        <v>04</v>
      </c>
      <c r="AX62" t="str">
        <f t="shared" si="59"/>
        <v>02</v>
      </c>
      <c r="AY62" t="str">
        <f t="shared" si="60"/>
        <v>02</v>
      </c>
      <c r="AZ62" t="str">
        <f t="shared" si="61"/>
        <v>02</v>
      </c>
      <c r="BA62" t="str">
        <f t="shared" si="62"/>
        <v>03</v>
      </c>
      <c r="BB62" t="str">
        <f t="shared" si="63"/>
        <v>00</v>
      </c>
      <c r="BC62" t="str">
        <f t="shared" si="64"/>
        <v>00</v>
      </c>
      <c r="BD62" t="str">
        <f t="shared" si="65"/>
        <v>00</v>
      </c>
      <c r="BE62" t="str">
        <f t="shared" si="66"/>
        <v>00</v>
      </c>
      <c r="BF62" t="str">
        <f t="shared" si="67"/>
        <v>00</v>
      </c>
      <c r="BG62" t="str">
        <f t="shared" si="68"/>
        <v>00</v>
      </c>
      <c r="BH62" t="str">
        <f t="shared" si="69"/>
        <v>00</v>
      </c>
      <c r="BI62" t="str">
        <f t="shared" si="70"/>
        <v>00</v>
      </c>
      <c r="BJ62" t="str">
        <f t="shared" si="71"/>
        <v>00</v>
      </c>
      <c r="BK62" t="str">
        <f t="shared" si="72"/>
        <v>00</v>
      </c>
      <c r="BL62" t="str">
        <f t="shared" si="73"/>
        <v>00</v>
      </c>
      <c r="BM62" t="str">
        <f t="shared" si="74"/>
        <v>00</v>
      </c>
      <c r="BN62" t="str">
        <f t="shared" si="75"/>
        <v>00</v>
      </c>
      <c r="BO62" t="str">
        <f t="shared" si="76"/>
        <v>06</v>
      </c>
      <c r="BP62" t="str">
        <f t="shared" si="77"/>
        <v>0104020202030000000000000000000000000006</v>
      </c>
      <c r="BQ62" t="str">
        <f t="shared" si="80"/>
        <v>Menu04 L06 N058</v>
      </c>
      <c r="BR62" t="str">
        <f t="shared" si="107"/>
        <v>file58</v>
      </c>
      <c r="BS62" t="str">
        <f t="shared" si="79"/>
        <v>058,00,00,00,01,04,02,02,02,03,00,00,00,00,00,00,00,00,00,00,00,00,00,06,0104020202030000000000000000000000000006,Menu04 L06 N058,file58</v>
      </c>
    </row>
    <row r="63" spans="3:71" x14ac:dyDescent="0.25">
      <c r="C63">
        <f t="shared" si="81"/>
        <v>59</v>
      </c>
      <c r="D63">
        <v>1</v>
      </c>
      <c r="E63">
        <v>4</v>
      </c>
      <c r="F63">
        <v>2</v>
      </c>
      <c r="G63">
        <v>2</v>
      </c>
      <c r="H63">
        <v>3</v>
      </c>
      <c r="I63">
        <v>0</v>
      </c>
      <c r="W63" t="s">
        <v>1</v>
      </c>
      <c r="X63" t="str">
        <f t="shared" si="82"/>
        <v>|</v>
      </c>
      <c r="Y63" t="str">
        <f t="shared" si="83"/>
        <v>|</v>
      </c>
      <c r="Z63" t="str">
        <f t="shared" si="84"/>
        <v>|</v>
      </c>
      <c r="AA63" t="str">
        <f t="shared" si="85"/>
        <v>└</v>
      </c>
      <c r="AB63" t="str">
        <f t="shared" si="86"/>
        <v>--</v>
      </c>
      <c r="AC63" t="str">
        <f t="shared" si="87"/>
        <v/>
      </c>
      <c r="AD63" t="str">
        <f t="shared" si="88"/>
        <v/>
      </c>
      <c r="AE63" t="str">
        <f t="shared" si="89"/>
        <v/>
      </c>
      <c r="AF63" t="str">
        <f t="shared" si="90"/>
        <v/>
      </c>
      <c r="AG63" t="str">
        <f t="shared" si="91"/>
        <v/>
      </c>
      <c r="AH63" t="str">
        <f t="shared" si="92"/>
        <v/>
      </c>
      <c r="AI63" t="str">
        <f t="shared" si="93"/>
        <v/>
      </c>
      <c r="AJ63" t="str">
        <f t="shared" si="94"/>
        <v/>
      </c>
      <c r="AK63" t="str">
        <f t="shared" si="95"/>
        <v/>
      </c>
      <c r="AL63" t="str">
        <f t="shared" si="96"/>
        <v/>
      </c>
      <c r="AM63" t="str">
        <f t="shared" si="97"/>
        <v/>
      </c>
      <c r="AN63" t="str">
        <f t="shared" si="98"/>
        <v/>
      </c>
      <c r="AO63" t="str">
        <f t="shared" si="99"/>
        <v/>
      </c>
      <c r="AP63" t="str">
        <f t="shared" si="100"/>
        <v/>
      </c>
      <c r="AQ63" t="s">
        <v>1</v>
      </c>
      <c r="AR63" t="str">
        <f t="shared" si="55"/>
        <v>059</v>
      </c>
      <c r="AS63" t="str">
        <f t="shared" si="106"/>
        <v>00</v>
      </c>
      <c r="AT63" t="str">
        <f t="shared" si="106"/>
        <v>00</v>
      </c>
      <c r="AU63" t="str">
        <f t="shared" si="106"/>
        <v>00</v>
      </c>
      <c r="AV63" t="str">
        <f t="shared" si="57"/>
        <v>01</v>
      </c>
      <c r="AW63" t="str">
        <f t="shared" si="58"/>
        <v>04</v>
      </c>
      <c r="AX63" t="str">
        <f t="shared" si="59"/>
        <v>02</v>
      </c>
      <c r="AY63" t="str">
        <f t="shared" si="60"/>
        <v>02</v>
      </c>
      <c r="AZ63" t="str">
        <f t="shared" si="61"/>
        <v>03</v>
      </c>
      <c r="BA63" t="str">
        <f t="shared" si="62"/>
        <v>00</v>
      </c>
      <c r="BB63" t="str">
        <f t="shared" si="63"/>
        <v>00</v>
      </c>
      <c r="BC63" t="str">
        <f t="shared" si="64"/>
        <v>00</v>
      </c>
      <c r="BD63" t="str">
        <f t="shared" si="65"/>
        <v>00</v>
      </c>
      <c r="BE63" t="str">
        <f t="shared" si="66"/>
        <v>00</v>
      </c>
      <c r="BF63" t="str">
        <f t="shared" si="67"/>
        <v>00</v>
      </c>
      <c r="BG63" t="str">
        <f t="shared" si="68"/>
        <v>00</v>
      </c>
      <c r="BH63" t="str">
        <f t="shared" si="69"/>
        <v>00</v>
      </c>
      <c r="BI63" t="str">
        <f t="shared" si="70"/>
        <v>00</v>
      </c>
      <c r="BJ63" t="str">
        <f t="shared" si="71"/>
        <v>00</v>
      </c>
      <c r="BK63" t="str">
        <f t="shared" si="72"/>
        <v>00</v>
      </c>
      <c r="BL63" t="str">
        <f t="shared" si="73"/>
        <v>00</v>
      </c>
      <c r="BM63" t="str">
        <f t="shared" si="74"/>
        <v>00</v>
      </c>
      <c r="BN63" t="str">
        <f t="shared" si="75"/>
        <v>00</v>
      </c>
      <c r="BO63" t="str">
        <f t="shared" si="76"/>
        <v>05</v>
      </c>
      <c r="BP63" t="str">
        <f t="shared" si="77"/>
        <v>0104020203000000000000000000000000000005</v>
      </c>
      <c r="BQ63" t="str">
        <f t="shared" si="80"/>
        <v>Menu04 L05 N059</v>
      </c>
      <c r="BR63" t="str">
        <f t="shared" si="107"/>
        <v>file59</v>
      </c>
      <c r="BS63" t="str">
        <f t="shared" si="79"/>
        <v>059,00,00,00,01,04,02,02,03,00,00,00,00,00,00,00,00,00,00,00,00,00,00,05,0104020203000000000000000000000000000005,Menu04 L05 N059,file59</v>
      </c>
    </row>
    <row r="64" spans="3:71" x14ac:dyDescent="0.25">
      <c r="C64">
        <f t="shared" si="81"/>
        <v>60</v>
      </c>
      <c r="D64">
        <v>1</v>
      </c>
      <c r="E64">
        <f>E62</f>
        <v>4</v>
      </c>
      <c r="F64">
        <f>F62</f>
        <v>2</v>
      </c>
      <c r="G64">
        <f>G62</f>
        <v>2</v>
      </c>
      <c r="H64">
        <v>3</v>
      </c>
      <c r="I64">
        <v>1</v>
      </c>
      <c r="W64" t="s">
        <v>1</v>
      </c>
      <c r="X64" t="str">
        <f t="shared" si="82"/>
        <v>|</v>
      </c>
      <c r="Y64" t="str">
        <f t="shared" si="83"/>
        <v>|</v>
      </c>
      <c r="Z64" t="str">
        <f t="shared" si="84"/>
        <v>|</v>
      </c>
      <c r="AA64" t="str">
        <f t="shared" si="85"/>
        <v>|</v>
      </c>
      <c r="AB64" t="str">
        <f t="shared" si="86"/>
        <v>└</v>
      </c>
      <c r="AC64" t="str">
        <f t="shared" si="87"/>
        <v>--</v>
      </c>
      <c r="AD64" t="str">
        <f t="shared" si="88"/>
        <v/>
      </c>
      <c r="AE64" t="str">
        <f t="shared" si="89"/>
        <v/>
      </c>
      <c r="AF64" t="str">
        <f t="shared" si="90"/>
        <v/>
      </c>
      <c r="AG64" t="str">
        <f t="shared" si="91"/>
        <v/>
      </c>
      <c r="AH64" t="str">
        <f t="shared" si="92"/>
        <v/>
      </c>
      <c r="AI64" t="str">
        <f t="shared" si="93"/>
        <v/>
      </c>
      <c r="AJ64" t="str">
        <f t="shared" si="94"/>
        <v/>
      </c>
      <c r="AK64" t="str">
        <f t="shared" si="95"/>
        <v/>
      </c>
      <c r="AL64" t="str">
        <f t="shared" si="96"/>
        <v/>
      </c>
      <c r="AM64" t="str">
        <f t="shared" si="97"/>
        <v/>
      </c>
      <c r="AN64" t="str">
        <f t="shared" si="98"/>
        <v/>
      </c>
      <c r="AO64" t="str">
        <f t="shared" si="99"/>
        <v/>
      </c>
      <c r="AP64" t="str">
        <f t="shared" si="100"/>
        <v/>
      </c>
      <c r="AQ64" t="s">
        <v>1</v>
      </c>
      <c r="AR64" t="str">
        <f t="shared" si="55"/>
        <v>060</v>
      </c>
      <c r="AS64" t="str">
        <f t="shared" si="106"/>
        <v>00</v>
      </c>
      <c r="AT64" t="str">
        <f t="shared" si="106"/>
        <v>00</v>
      </c>
      <c r="AU64" t="str">
        <f t="shared" si="106"/>
        <v>00</v>
      </c>
      <c r="AV64" t="str">
        <f t="shared" si="57"/>
        <v>01</v>
      </c>
      <c r="AW64" t="str">
        <f t="shared" si="58"/>
        <v>04</v>
      </c>
      <c r="AX64" t="str">
        <f t="shared" si="59"/>
        <v>02</v>
      </c>
      <c r="AY64" t="str">
        <f t="shared" si="60"/>
        <v>02</v>
      </c>
      <c r="AZ64" t="str">
        <f t="shared" si="61"/>
        <v>03</v>
      </c>
      <c r="BA64" t="str">
        <f t="shared" si="62"/>
        <v>01</v>
      </c>
      <c r="BB64" t="str">
        <f t="shared" si="63"/>
        <v>00</v>
      </c>
      <c r="BC64" t="str">
        <f t="shared" si="64"/>
        <v>00</v>
      </c>
      <c r="BD64" t="str">
        <f t="shared" si="65"/>
        <v>00</v>
      </c>
      <c r="BE64" t="str">
        <f t="shared" si="66"/>
        <v>00</v>
      </c>
      <c r="BF64" t="str">
        <f t="shared" si="67"/>
        <v>00</v>
      </c>
      <c r="BG64" t="str">
        <f t="shared" si="68"/>
        <v>00</v>
      </c>
      <c r="BH64" t="str">
        <f t="shared" si="69"/>
        <v>00</v>
      </c>
      <c r="BI64" t="str">
        <f t="shared" si="70"/>
        <v>00</v>
      </c>
      <c r="BJ64" t="str">
        <f t="shared" si="71"/>
        <v>00</v>
      </c>
      <c r="BK64" t="str">
        <f t="shared" si="72"/>
        <v>00</v>
      </c>
      <c r="BL64" t="str">
        <f t="shared" si="73"/>
        <v>00</v>
      </c>
      <c r="BM64" t="str">
        <f t="shared" si="74"/>
        <v>00</v>
      </c>
      <c r="BN64" t="str">
        <f t="shared" si="75"/>
        <v>00</v>
      </c>
      <c r="BO64" t="str">
        <f t="shared" si="76"/>
        <v>06</v>
      </c>
      <c r="BP64" t="str">
        <f t="shared" si="77"/>
        <v>0104020203010000000000000000000000000006</v>
      </c>
      <c r="BQ64" t="str">
        <f t="shared" si="80"/>
        <v>Menu04 L06 N060</v>
      </c>
      <c r="BR64" t="str">
        <f t="shared" si="107"/>
        <v>file60</v>
      </c>
      <c r="BS64" t="str">
        <f t="shared" si="79"/>
        <v>060,00,00,00,01,04,02,02,03,01,00,00,00,00,00,00,00,00,00,00,00,00,00,06,0104020203010000000000000000000000000006,Menu04 L06 N060,file60</v>
      </c>
    </row>
    <row r="65" spans="3:71" x14ac:dyDescent="0.25">
      <c r="C65">
        <f t="shared" si="81"/>
        <v>61</v>
      </c>
      <c r="D65">
        <v>1</v>
      </c>
      <c r="E65">
        <v>4</v>
      </c>
      <c r="F65">
        <v>2</v>
      </c>
      <c r="G65">
        <v>2</v>
      </c>
      <c r="H65">
        <v>3</v>
      </c>
      <c r="I65">
        <v>2</v>
      </c>
      <c r="J65">
        <v>0</v>
      </c>
      <c r="W65" t="s">
        <v>1</v>
      </c>
      <c r="X65" t="str">
        <f t="shared" si="82"/>
        <v>|</v>
      </c>
      <c r="Y65" t="str">
        <f t="shared" si="83"/>
        <v>|</v>
      </c>
      <c r="Z65" t="str">
        <f t="shared" si="84"/>
        <v>|</v>
      </c>
      <c r="AA65" t="str">
        <f t="shared" si="85"/>
        <v>|</v>
      </c>
      <c r="AB65" t="str">
        <f t="shared" si="86"/>
        <v>└</v>
      </c>
      <c r="AC65" t="str">
        <f t="shared" si="87"/>
        <v>--</v>
      </c>
      <c r="AD65" t="str">
        <f t="shared" si="88"/>
        <v/>
      </c>
      <c r="AE65" t="str">
        <f t="shared" si="89"/>
        <v/>
      </c>
      <c r="AF65" t="str">
        <f t="shared" si="90"/>
        <v/>
      </c>
      <c r="AG65" t="str">
        <f t="shared" si="91"/>
        <v/>
      </c>
      <c r="AH65" t="str">
        <f t="shared" si="92"/>
        <v/>
      </c>
      <c r="AI65" t="str">
        <f t="shared" si="93"/>
        <v/>
      </c>
      <c r="AJ65" t="str">
        <f t="shared" si="94"/>
        <v/>
      </c>
      <c r="AK65" t="str">
        <f t="shared" si="95"/>
        <v/>
      </c>
      <c r="AL65" t="str">
        <f t="shared" si="96"/>
        <v/>
      </c>
      <c r="AM65" t="str">
        <f t="shared" si="97"/>
        <v/>
      </c>
      <c r="AN65" t="str">
        <f t="shared" si="98"/>
        <v/>
      </c>
      <c r="AO65" t="str">
        <f t="shared" si="99"/>
        <v/>
      </c>
      <c r="AP65" t="str">
        <f t="shared" si="100"/>
        <v/>
      </c>
      <c r="AQ65" t="s">
        <v>1</v>
      </c>
      <c r="AR65" t="str">
        <f t="shared" si="55"/>
        <v>061</v>
      </c>
      <c r="AS65" t="str">
        <f t="shared" si="106"/>
        <v>00</v>
      </c>
      <c r="AT65" t="str">
        <f t="shared" si="106"/>
        <v>00</v>
      </c>
      <c r="AU65" t="str">
        <f t="shared" si="106"/>
        <v>00</v>
      </c>
      <c r="AV65" t="str">
        <f t="shared" si="57"/>
        <v>01</v>
      </c>
      <c r="AW65" t="str">
        <f t="shared" si="58"/>
        <v>04</v>
      </c>
      <c r="AX65" t="str">
        <f t="shared" si="59"/>
        <v>02</v>
      </c>
      <c r="AY65" t="str">
        <f t="shared" si="60"/>
        <v>02</v>
      </c>
      <c r="AZ65" t="str">
        <f t="shared" si="61"/>
        <v>03</v>
      </c>
      <c r="BA65" t="str">
        <f t="shared" si="62"/>
        <v>02</v>
      </c>
      <c r="BB65" t="str">
        <f t="shared" si="63"/>
        <v>00</v>
      </c>
      <c r="BC65" t="str">
        <f t="shared" si="64"/>
        <v>00</v>
      </c>
      <c r="BD65" t="str">
        <f t="shared" si="65"/>
        <v>00</v>
      </c>
      <c r="BE65" t="str">
        <f t="shared" si="66"/>
        <v>00</v>
      </c>
      <c r="BF65" t="str">
        <f t="shared" si="67"/>
        <v>00</v>
      </c>
      <c r="BG65" t="str">
        <f t="shared" si="68"/>
        <v>00</v>
      </c>
      <c r="BH65" t="str">
        <f t="shared" si="69"/>
        <v>00</v>
      </c>
      <c r="BI65" t="str">
        <f t="shared" si="70"/>
        <v>00</v>
      </c>
      <c r="BJ65" t="str">
        <f t="shared" si="71"/>
        <v>00</v>
      </c>
      <c r="BK65" t="str">
        <f t="shared" si="72"/>
        <v>00</v>
      </c>
      <c r="BL65" t="str">
        <f t="shared" si="73"/>
        <v>00</v>
      </c>
      <c r="BM65" t="str">
        <f t="shared" si="74"/>
        <v>00</v>
      </c>
      <c r="BN65" t="str">
        <f t="shared" si="75"/>
        <v>00</v>
      </c>
      <c r="BO65" t="str">
        <f t="shared" si="76"/>
        <v>06</v>
      </c>
      <c r="BP65" t="str">
        <f t="shared" si="77"/>
        <v>0104020203020000000000000000000000000006</v>
      </c>
      <c r="BQ65" t="str">
        <f t="shared" si="80"/>
        <v>Menu04 L06 N061</v>
      </c>
      <c r="BR65" t="str">
        <f t="shared" si="107"/>
        <v>file61</v>
      </c>
      <c r="BS65" t="str">
        <f t="shared" si="79"/>
        <v>061,00,00,00,01,04,02,02,03,02,00,00,00,00,00,00,00,00,00,00,00,00,00,06,0104020203020000000000000000000000000006,Menu04 L06 N061,file61</v>
      </c>
    </row>
    <row r="66" spans="3:71" x14ac:dyDescent="0.25">
      <c r="C66">
        <f t="shared" si="81"/>
        <v>62</v>
      </c>
      <c r="D66">
        <v>1</v>
      </c>
      <c r="E66">
        <f>E64</f>
        <v>4</v>
      </c>
      <c r="F66">
        <f>F64</f>
        <v>2</v>
      </c>
      <c r="G66">
        <f>G64</f>
        <v>2</v>
      </c>
      <c r="H66">
        <f>H64</f>
        <v>3</v>
      </c>
      <c r="I66">
        <v>2</v>
      </c>
      <c r="J66">
        <v>1</v>
      </c>
      <c r="W66" t="s">
        <v>1</v>
      </c>
      <c r="X66" t="str">
        <f t="shared" si="82"/>
        <v>|</v>
      </c>
      <c r="Y66" t="str">
        <f t="shared" si="83"/>
        <v>|</v>
      </c>
      <c r="Z66" t="str">
        <f t="shared" si="84"/>
        <v>|</v>
      </c>
      <c r="AA66" t="str">
        <f t="shared" si="85"/>
        <v>|</v>
      </c>
      <c r="AB66" t="str">
        <f t="shared" si="86"/>
        <v>|</v>
      </c>
      <c r="AC66" t="str">
        <f t="shared" si="87"/>
        <v>└</v>
      </c>
      <c r="AD66" t="str">
        <f t="shared" si="88"/>
        <v>--</v>
      </c>
      <c r="AE66" t="str">
        <f t="shared" si="89"/>
        <v/>
      </c>
      <c r="AF66" t="str">
        <f t="shared" si="90"/>
        <v/>
      </c>
      <c r="AG66" t="str">
        <f t="shared" si="91"/>
        <v/>
      </c>
      <c r="AH66" t="str">
        <f t="shared" si="92"/>
        <v/>
      </c>
      <c r="AI66" t="str">
        <f t="shared" si="93"/>
        <v/>
      </c>
      <c r="AJ66" t="str">
        <f t="shared" si="94"/>
        <v/>
      </c>
      <c r="AK66" t="str">
        <f t="shared" si="95"/>
        <v/>
      </c>
      <c r="AL66" t="str">
        <f t="shared" si="96"/>
        <v/>
      </c>
      <c r="AM66" t="str">
        <f t="shared" si="97"/>
        <v/>
      </c>
      <c r="AN66" t="str">
        <f t="shared" si="98"/>
        <v/>
      </c>
      <c r="AO66" t="str">
        <f t="shared" si="99"/>
        <v/>
      </c>
      <c r="AP66" t="str">
        <f t="shared" si="100"/>
        <v/>
      </c>
      <c r="AQ66" t="s">
        <v>1</v>
      </c>
      <c r="AR66" t="str">
        <f t="shared" si="55"/>
        <v>062</v>
      </c>
      <c r="AS66" t="str">
        <f t="shared" si="106"/>
        <v>00</v>
      </c>
      <c r="AT66" t="str">
        <f t="shared" si="106"/>
        <v>00</v>
      </c>
      <c r="AU66" t="str">
        <f t="shared" si="106"/>
        <v>00</v>
      </c>
      <c r="AV66" t="str">
        <f t="shared" si="57"/>
        <v>01</v>
      </c>
      <c r="AW66" t="str">
        <f t="shared" si="58"/>
        <v>04</v>
      </c>
      <c r="AX66" t="str">
        <f t="shared" si="59"/>
        <v>02</v>
      </c>
      <c r="AY66" t="str">
        <f t="shared" si="60"/>
        <v>02</v>
      </c>
      <c r="AZ66" t="str">
        <f t="shared" si="61"/>
        <v>03</v>
      </c>
      <c r="BA66" t="str">
        <f t="shared" si="62"/>
        <v>02</v>
      </c>
      <c r="BB66" t="str">
        <f t="shared" si="63"/>
        <v>01</v>
      </c>
      <c r="BC66" t="str">
        <f t="shared" si="64"/>
        <v>00</v>
      </c>
      <c r="BD66" t="str">
        <f t="shared" si="65"/>
        <v>00</v>
      </c>
      <c r="BE66" t="str">
        <f t="shared" si="66"/>
        <v>00</v>
      </c>
      <c r="BF66" t="str">
        <f t="shared" si="67"/>
        <v>00</v>
      </c>
      <c r="BG66" t="str">
        <f t="shared" si="68"/>
        <v>00</v>
      </c>
      <c r="BH66" t="str">
        <f t="shared" si="69"/>
        <v>00</v>
      </c>
      <c r="BI66" t="str">
        <f t="shared" si="70"/>
        <v>00</v>
      </c>
      <c r="BJ66" t="str">
        <f t="shared" si="71"/>
        <v>00</v>
      </c>
      <c r="BK66" t="str">
        <f t="shared" si="72"/>
        <v>00</v>
      </c>
      <c r="BL66" t="str">
        <f t="shared" si="73"/>
        <v>00</v>
      </c>
      <c r="BM66" t="str">
        <f t="shared" si="74"/>
        <v>00</v>
      </c>
      <c r="BN66" t="str">
        <f t="shared" si="75"/>
        <v>00</v>
      </c>
      <c r="BO66" t="str">
        <f t="shared" si="76"/>
        <v>07</v>
      </c>
      <c r="BP66" t="str">
        <f t="shared" si="77"/>
        <v>0104020203020100000000000000000000000007</v>
      </c>
      <c r="BQ66" t="str">
        <f t="shared" si="80"/>
        <v>Menu04 L07 N062</v>
      </c>
      <c r="BR66" t="str">
        <f t="shared" si="107"/>
        <v>file62</v>
      </c>
      <c r="BS66" t="str">
        <f t="shared" si="79"/>
        <v>062,00,00,00,01,04,02,02,03,02,01,00,00,00,00,00,00,00,00,00,00,00,00,07,0104020203020100000000000000000000000007,Menu04 L07 N062,file62</v>
      </c>
    </row>
    <row r="67" spans="3:71" x14ac:dyDescent="0.25">
      <c r="C67">
        <f t="shared" si="81"/>
        <v>63</v>
      </c>
      <c r="D67">
        <v>1</v>
      </c>
      <c r="E67">
        <f t="shared" si="101"/>
        <v>4</v>
      </c>
      <c r="F67">
        <f t="shared" si="102"/>
        <v>2</v>
      </c>
      <c r="G67">
        <f t="shared" si="103"/>
        <v>2</v>
      </c>
      <c r="H67">
        <f t="shared" ref="H67:H69" si="116">H66</f>
        <v>3</v>
      </c>
      <c r="I67">
        <v>2</v>
      </c>
      <c r="J67">
        <v>2</v>
      </c>
      <c r="W67" t="s">
        <v>1</v>
      </c>
      <c r="X67" t="str">
        <f t="shared" si="82"/>
        <v>|</v>
      </c>
      <c r="Y67" t="str">
        <f t="shared" si="83"/>
        <v>|</v>
      </c>
      <c r="Z67" t="str">
        <f t="shared" si="84"/>
        <v>|</v>
      </c>
      <c r="AA67" t="str">
        <f t="shared" si="85"/>
        <v>|</v>
      </c>
      <c r="AB67" t="str">
        <f t="shared" si="86"/>
        <v>|</v>
      </c>
      <c r="AC67" t="str">
        <f t="shared" si="87"/>
        <v>└</v>
      </c>
      <c r="AD67" t="str">
        <f t="shared" si="88"/>
        <v>--</v>
      </c>
      <c r="AE67" t="str">
        <f t="shared" si="89"/>
        <v/>
      </c>
      <c r="AF67" t="str">
        <f t="shared" si="90"/>
        <v/>
      </c>
      <c r="AG67" t="str">
        <f t="shared" si="91"/>
        <v/>
      </c>
      <c r="AH67" t="str">
        <f t="shared" si="92"/>
        <v/>
      </c>
      <c r="AI67" t="str">
        <f t="shared" si="93"/>
        <v/>
      </c>
      <c r="AJ67" t="str">
        <f t="shared" si="94"/>
        <v/>
      </c>
      <c r="AK67" t="str">
        <f t="shared" si="95"/>
        <v/>
      </c>
      <c r="AL67" t="str">
        <f t="shared" si="96"/>
        <v/>
      </c>
      <c r="AM67" t="str">
        <f t="shared" si="97"/>
        <v/>
      </c>
      <c r="AN67" t="str">
        <f t="shared" si="98"/>
        <v/>
      </c>
      <c r="AO67" t="str">
        <f t="shared" si="99"/>
        <v/>
      </c>
      <c r="AP67" t="str">
        <f t="shared" si="100"/>
        <v/>
      </c>
      <c r="AQ67" t="s">
        <v>1</v>
      </c>
      <c r="AR67" t="str">
        <f t="shared" si="55"/>
        <v>063</v>
      </c>
      <c r="AS67" t="str">
        <f t="shared" si="106"/>
        <v>00</v>
      </c>
      <c r="AT67" t="str">
        <f t="shared" si="106"/>
        <v>00</v>
      </c>
      <c r="AU67" t="str">
        <f t="shared" si="106"/>
        <v>00</v>
      </c>
      <c r="AV67" t="str">
        <f t="shared" si="57"/>
        <v>01</v>
      </c>
      <c r="AW67" t="str">
        <f t="shared" si="58"/>
        <v>04</v>
      </c>
      <c r="AX67" t="str">
        <f t="shared" si="59"/>
        <v>02</v>
      </c>
      <c r="AY67" t="str">
        <f t="shared" si="60"/>
        <v>02</v>
      </c>
      <c r="AZ67" t="str">
        <f t="shared" si="61"/>
        <v>03</v>
      </c>
      <c r="BA67" t="str">
        <f t="shared" si="62"/>
        <v>02</v>
      </c>
      <c r="BB67" t="str">
        <f t="shared" si="63"/>
        <v>02</v>
      </c>
      <c r="BC67" t="str">
        <f t="shared" si="64"/>
        <v>00</v>
      </c>
      <c r="BD67" t="str">
        <f t="shared" si="65"/>
        <v>00</v>
      </c>
      <c r="BE67" t="str">
        <f t="shared" si="66"/>
        <v>00</v>
      </c>
      <c r="BF67" t="str">
        <f t="shared" si="67"/>
        <v>00</v>
      </c>
      <c r="BG67" t="str">
        <f t="shared" si="68"/>
        <v>00</v>
      </c>
      <c r="BH67" t="str">
        <f t="shared" si="69"/>
        <v>00</v>
      </c>
      <c r="BI67" t="str">
        <f t="shared" si="70"/>
        <v>00</v>
      </c>
      <c r="BJ67" t="str">
        <f t="shared" si="71"/>
        <v>00</v>
      </c>
      <c r="BK67" t="str">
        <f t="shared" si="72"/>
        <v>00</v>
      </c>
      <c r="BL67" t="str">
        <f t="shared" si="73"/>
        <v>00</v>
      </c>
      <c r="BM67" t="str">
        <f t="shared" si="74"/>
        <v>00</v>
      </c>
      <c r="BN67" t="str">
        <f t="shared" si="75"/>
        <v>00</v>
      </c>
      <c r="BO67" t="str">
        <f t="shared" si="76"/>
        <v>07</v>
      </c>
      <c r="BP67" t="str">
        <f t="shared" si="77"/>
        <v>0104020203020200000000000000000000000007</v>
      </c>
      <c r="BQ67" t="str">
        <f t="shared" si="80"/>
        <v>Menu04 L07 N063</v>
      </c>
      <c r="BR67" t="str">
        <f t="shared" si="107"/>
        <v>file63</v>
      </c>
      <c r="BS67" t="str">
        <f t="shared" si="79"/>
        <v>063,00,00,00,01,04,02,02,03,02,02,00,00,00,00,00,00,00,00,00,00,00,00,07,0104020203020200000000000000000000000007,Menu04 L07 N063,file63</v>
      </c>
    </row>
    <row r="68" spans="3:71" x14ac:dyDescent="0.25">
      <c r="C68">
        <f t="shared" si="81"/>
        <v>64</v>
      </c>
      <c r="D68">
        <v>1</v>
      </c>
      <c r="E68">
        <f t="shared" si="101"/>
        <v>4</v>
      </c>
      <c r="F68">
        <f t="shared" si="102"/>
        <v>2</v>
      </c>
      <c r="G68">
        <f t="shared" si="103"/>
        <v>2</v>
      </c>
      <c r="H68">
        <f t="shared" si="116"/>
        <v>3</v>
      </c>
      <c r="I68">
        <v>3</v>
      </c>
      <c r="W68" t="s">
        <v>1</v>
      </c>
      <c r="X68" t="str">
        <f t="shared" si="82"/>
        <v>|</v>
      </c>
      <c r="Y68" t="str">
        <f t="shared" si="83"/>
        <v>|</v>
      </c>
      <c r="Z68" t="str">
        <f t="shared" si="84"/>
        <v>|</v>
      </c>
      <c r="AA68" t="str">
        <f t="shared" si="85"/>
        <v>|</v>
      </c>
      <c r="AB68" t="str">
        <f t="shared" si="86"/>
        <v>└</v>
      </c>
      <c r="AC68" t="str">
        <f t="shared" si="87"/>
        <v>--</v>
      </c>
      <c r="AD68" t="str">
        <f t="shared" si="88"/>
        <v/>
      </c>
      <c r="AE68" t="str">
        <f t="shared" si="89"/>
        <v/>
      </c>
      <c r="AF68" t="str">
        <f t="shared" si="90"/>
        <v/>
      </c>
      <c r="AG68" t="str">
        <f t="shared" si="91"/>
        <v/>
      </c>
      <c r="AH68" t="str">
        <f t="shared" si="92"/>
        <v/>
      </c>
      <c r="AI68" t="str">
        <f t="shared" si="93"/>
        <v/>
      </c>
      <c r="AJ68" t="str">
        <f t="shared" si="94"/>
        <v/>
      </c>
      <c r="AK68" t="str">
        <f t="shared" si="95"/>
        <v/>
      </c>
      <c r="AL68" t="str">
        <f t="shared" si="96"/>
        <v/>
      </c>
      <c r="AM68" t="str">
        <f t="shared" si="97"/>
        <v/>
      </c>
      <c r="AN68" t="str">
        <f t="shared" si="98"/>
        <v/>
      </c>
      <c r="AO68" t="str">
        <f t="shared" si="99"/>
        <v/>
      </c>
      <c r="AP68" t="str">
        <f t="shared" si="100"/>
        <v/>
      </c>
      <c r="AQ68" t="s">
        <v>1</v>
      </c>
      <c r="AR68" t="str">
        <f t="shared" si="55"/>
        <v>064</v>
      </c>
      <c r="AS68" t="str">
        <f t="shared" si="106"/>
        <v>00</v>
      </c>
      <c r="AT68" t="str">
        <f t="shared" si="106"/>
        <v>00</v>
      </c>
      <c r="AU68" t="str">
        <f t="shared" si="106"/>
        <v>00</v>
      </c>
      <c r="AV68" t="str">
        <f t="shared" si="57"/>
        <v>01</v>
      </c>
      <c r="AW68" t="str">
        <f t="shared" si="58"/>
        <v>04</v>
      </c>
      <c r="AX68" t="str">
        <f t="shared" si="59"/>
        <v>02</v>
      </c>
      <c r="AY68" t="str">
        <f t="shared" si="60"/>
        <v>02</v>
      </c>
      <c r="AZ68" t="str">
        <f t="shared" si="61"/>
        <v>03</v>
      </c>
      <c r="BA68" t="str">
        <f t="shared" si="62"/>
        <v>03</v>
      </c>
      <c r="BB68" t="str">
        <f t="shared" si="63"/>
        <v>00</v>
      </c>
      <c r="BC68" t="str">
        <f t="shared" si="64"/>
        <v>00</v>
      </c>
      <c r="BD68" t="str">
        <f t="shared" si="65"/>
        <v>00</v>
      </c>
      <c r="BE68" t="str">
        <f t="shared" si="66"/>
        <v>00</v>
      </c>
      <c r="BF68" t="str">
        <f t="shared" si="67"/>
        <v>00</v>
      </c>
      <c r="BG68" t="str">
        <f t="shared" si="68"/>
        <v>00</v>
      </c>
      <c r="BH68" t="str">
        <f t="shared" si="69"/>
        <v>00</v>
      </c>
      <c r="BI68" t="str">
        <f t="shared" si="70"/>
        <v>00</v>
      </c>
      <c r="BJ68" t="str">
        <f t="shared" si="71"/>
        <v>00</v>
      </c>
      <c r="BK68" t="str">
        <f t="shared" si="72"/>
        <v>00</v>
      </c>
      <c r="BL68" t="str">
        <f t="shared" si="73"/>
        <v>00</v>
      </c>
      <c r="BM68" t="str">
        <f t="shared" si="74"/>
        <v>00</v>
      </c>
      <c r="BN68" t="str">
        <f t="shared" si="75"/>
        <v>00</v>
      </c>
      <c r="BO68" t="str">
        <f t="shared" si="76"/>
        <v>06</v>
      </c>
      <c r="BP68" t="str">
        <f t="shared" si="77"/>
        <v>0104020203030000000000000000000000000006</v>
      </c>
      <c r="BQ68" t="str">
        <f t="shared" si="80"/>
        <v>Menu04 L06 N064</v>
      </c>
      <c r="BR68" t="str">
        <f t="shared" si="107"/>
        <v>file64</v>
      </c>
      <c r="BS68" t="str">
        <f t="shared" si="79"/>
        <v>064,00,00,00,01,04,02,02,03,03,00,00,00,00,00,00,00,00,00,00,00,00,00,06,0104020203030000000000000000000000000006,Menu04 L06 N064,file64</v>
      </c>
    </row>
    <row r="69" spans="3:71" x14ac:dyDescent="0.25">
      <c r="C69">
        <f t="shared" si="81"/>
        <v>65</v>
      </c>
      <c r="D69">
        <v>1</v>
      </c>
      <c r="E69">
        <f t="shared" si="101"/>
        <v>4</v>
      </c>
      <c r="F69">
        <f t="shared" si="102"/>
        <v>2</v>
      </c>
      <c r="G69">
        <f t="shared" si="103"/>
        <v>2</v>
      </c>
      <c r="H69">
        <f t="shared" si="116"/>
        <v>3</v>
      </c>
      <c r="I69">
        <v>4</v>
      </c>
      <c r="W69" t="s">
        <v>1</v>
      </c>
      <c r="X69" t="str">
        <f t="shared" si="82"/>
        <v>|</v>
      </c>
      <c r="Y69" t="str">
        <f t="shared" si="83"/>
        <v>|</v>
      </c>
      <c r="Z69" t="str">
        <f t="shared" si="84"/>
        <v>|</v>
      </c>
      <c r="AA69" t="str">
        <f t="shared" si="85"/>
        <v>|</v>
      </c>
      <c r="AB69" t="str">
        <f t="shared" si="86"/>
        <v>└</v>
      </c>
      <c r="AC69" t="str">
        <f t="shared" si="87"/>
        <v>--</v>
      </c>
      <c r="AD69" t="str">
        <f t="shared" si="88"/>
        <v/>
      </c>
      <c r="AE69" t="str">
        <f t="shared" si="89"/>
        <v/>
      </c>
      <c r="AF69" t="str">
        <f t="shared" si="90"/>
        <v/>
      </c>
      <c r="AG69" t="str">
        <f t="shared" si="91"/>
        <v/>
      </c>
      <c r="AH69" t="str">
        <f t="shared" si="92"/>
        <v/>
      </c>
      <c r="AI69" t="str">
        <f t="shared" si="93"/>
        <v/>
      </c>
      <c r="AJ69" t="str">
        <f t="shared" si="94"/>
        <v/>
      </c>
      <c r="AK69" t="str">
        <f t="shared" si="95"/>
        <v/>
      </c>
      <c r="AL69" t="str">
        <f t="shared" si="96"/>
        <v/>
      </c>
      <c r="AM69" t="str">
        <f t="shared" si="97"/>
        <v/>
      </c>
      <c r="AN69" t="str">
        <f t="shared" si="98"/>
        <v/>
      </c>
      <c r="AO69" t="str">
        <f t="shared" si="99"/>
        <v/>
      </c>
      <c r="AP69" t="str">
        <f t="shared" si="100"/>
        <v/>
      </c>
      <c r="AQ69" t="s">
        <v>1</v>
      </c>
      <c r="AR69" t="str">
        <f t="shared" si="55"/>
        <v>065</v>
      </c>
      <c r="AS69" t="str">
        <f t="shared" si="106"/>
        <v>00</v>
      </c>
      <c r="AT69" t="str">
        <f t="shared" si="106"/>
        <v>00</v>
      </c>
      <c r="AU69" t="str">
        <f t="shared" si="106"/>
        <v>00</v>
      </c>
      <c r="AV69" t="str">
        <f t="shared" si="57"/>
        <v>01</v>
      </c>
      <c r="AW69" t="str">
        <f t="shared" si="58"/>
        <v>04</v>
      </c>
      <c r="AX69" t="str">
        <f t="shared" si="59"/>
        <v>02</v>
      </c>
      <c r="AY69" t="str">
        <f t="shared" si="60"/>
        <v>02</v>
      </c>
      <c r="AZ69" t="str">
        <f t="shared" si="61"/>
        <v>03</v>
      </c>
      <c r="BA69" t="str">
        <f t="shared" si="62"/>
        <v>04</v>
      </c>
      <c r="BB69" t="str">
        <f t="shared" si="63"/>
        <v>00</v>
      </c>
      <c r="BC69" t="str">
        <f t="shared" si="64"/>
        <v>00</v>
      </c>
      <c r="BD69" t="str">
        <f t="shared" si="65"/>
        <v>00</v>
      </c>
      <c r="BE69" t="str">
        <f t="shared" si="66"/>
        <v>00</v>
      </c>
      <c r="BF69" t="str">
        <f t="shared" si="67"/>
        <v>00</v>
      </c>
      <c r="BG69" t="str">
        <f t="shared" si="68"/>
        <v>00</v>
      </c>
      <c r="BH69" t="str">
        <f t="shared" si="69"/>
        <v>00</v>
      </c>
      <c r="BI69" t="str">
        <f t="shared" si="70"/>
        <v>00</v>
      </c>
      <c r="BJ69" t="str">
        <f t="shared" si="71"/>
        <v>00</v>
      </c>
      <c r="BK69" t="str">
        <f t="shared" si="72"/>
        <v>00</v>
      </c>
      <c r="BL69" t="str">
        <f t="shared" si="73"/>
        <v>00</v>
      </c>
      <c r="BM69" t="str">
        <f t="shared" si="74"/>
        <v>00</v>
      </c>
      <c r="BN69" t="str">
        <f t="shared" si="75"/>
        <v>00</v>
      </c>
      <c r="BO69" t="str">
        <f t="shared" si="76"/>
        <v>06</v>
      </c>
      <c r="BP69" t="str">
        <f t="shared" si="77"/>
        <v>0104020203040000000000000000000000000006</v>
      </c>
      <c r="BQ69" t="str">
        <f t="shared" si="80"/>
        <v>Menu04 L06 N065</v>
      </c>
      <c r="BR69" t="str">
        <f t="shared" si="107"/>
        <v>file65</v>
      </c>
      <c r="BS69" t="str">
        <f t="shared" si="79"/>
        <v>065,00,00,00,01,04,02,02,03,04,00,00,00,00,00,00,00,00,00,00,00,00,00,06,0104020203040000000000000000000000000006,Menu04 L06 N065,file65</v>
      </c>
    </row>
    <row r="70" spans="3:71" x14ac:dyDescent="0.25">
      <c r="C70">
        <f t="shared" si="81"/>
        <v>66</v>
      </c>
      <c r="D70">
        <v>1</v>
      </c>
      <c r="E70">
        <f t="shared" si="101"/>
        <v>4</v>
      </c>
      <c r="F70">
        <f t="shared" si="102"/>
        <v>2</v>
      </c>
      <c r="G70">
        <v>3</v>
      </c>
      <c r="W70" t="s">
        <v>1</v>
      </c>
      <c r="X70" t="str">
        <f t="shared" si="82"/>
        <v>|</v>
      </c>
      <c r="Y70" t="str">
        <f t="shared" si="83"/>
        <v>|</v>
      </c>
      <c r="Z70" t="str">
        <f t="shared" si="84"/>
        <v>└</v>
      </c>
      <c r="AA70" t="str">
        <f t="shared" si="85"/>
        <v>--</v>
      </c>
      <c r="AB70" t="str">
        <f t="shared" si="86"/>
        <v/>
      </c>
      <c r="AC70" t="str">
        <f t="shared" si="87"/>
        <v/>
      </c>
      <c r="AD70" t="str">
        <f t="shared" si="88"/>
        <v/>
      </c>
      <c r="AE70" t="str">
        <f t="shared" si="89"/>
        <v/>
      </c>
      <c r="AF70" t="str">
        <f t="shared" si="90"/>
        <v/>
      </c>
      <c r="AG70" t="str">
        <f t="shared" si="91"/>
        <v/>
      </c>
      <c r="AH70" t="str">
        <f t="shared" si="92"/>
        <v/>
      </c>
      <c r="AI70" t="str">
        <f t="shared" si="93"/>
        <v/>
      </c>
      <c r="AJ70" t="str">
        <f t="shared" si="94"/>
        <v/>
      </c>
      <c r="AK70" t="str">
        <f t="shared" si="95"/>
        <v/>
      </c>
      <c r="AL70" t="str">
        <f t="shared" si="96"/>
        <v/>
      </c>
      <c r="AM70" t="str">
        <f t="shared" si="97"/>
        <v/>
      </c>
      <c r="AN70" t="str">
        <f t="shared" si="98"/>
        <v/>
      </c>
      <c r="AO70" t="str">
        <f t="shared" si="99"/>
        <v/>
      </c>
      <c r="AP70" t="str">
        <f t="shared" si="100"/>
        <v/>
      </c>
      <c r="AQ70" t="s">
        <v>1</v>
      </c>
      <c r="AR70" t="str">
        <f t="shared" ref="AR70:AR110" si="117">TEXT(C70,"000")</f>
        <v>066</v>
      </c>
      <c r="AS70" t="str">
        <f t="shared" ref="AS70:AU110" si="118">TEXT(0,"00")</f>
        <v>00</v>
      </c>
      <c r="AT70" t="str">
        <f t="shared" si="118"/>
        <v>00</v>
      </c>
      <c r="AU70" t="str">
        <f t="shared" si="118"/>
        <v>00</v>
      </c>
      <c r="AV70" t="str">
        <f t="shared" ref="AV70:AV110" si="119">TEXT(D70,"00")</f>
        <v>01</v>
      </c>
      <c r="AW70" t="str">
        <f t="shared" ref="AW70:AW110" si="120">TEXT(E70,"00")</f>
        <v>04</v>
      </c>
      <c r="AX70" t="str">
        <f t="shared" ref="AX70:AX110" si="121">TEXT(F70,"00")</f>
        <v>02</v>
      </c>
      <c r="AY70" t="str">
        <f t="shared" ref="AY70:AY110" si="122">TEXT(G70,"00")</f>
        <v>03</v>
      </c>
      <c r="AZ70" t="str">
        <f t="shared" ref="AZ70:AZ110" si="123">TEXT(H70,"00")</f>
        <v>00</v>
      </c>
      <c r="BA70" t="str">
        <f t="shared" ref="BA70:BA110" si="124">TEXT(I70,"00")</f>
        <v>00</v>
      </c>
      <c r="BB70" t="str">
        <f t="shared" ref="BB70:BB110" si="125">TEXT(J70,"00")</f>
        <v>00</v>
      </c>
      <c r="BC70" t="str">
        <f t="shared" ref="BC70:BC110" si="126">TEXT(K70,"00")</f>
        <v>00</v>
      </c>
      <c r="BD70" t="str">
        <f t="shared" ref="BD70:BD110" si="127">TEXT(L70,"00")</f>
        <v>00</v>
      </c>
      <c r="BE70" t="str">
        <f t="shared" ref="BE70:BE110" si="128">TEXT(M70,"00")</f>
        <v>00</v>
      </c>
      <c r="BF70" t="str">
        <f t="shared" ref="BF70:BF110" si="129">TEXT(N70,"00")</f>
        <v>00</v>
      </c>
      <c r="BG70" t="str">
        <f t="shared" ref="BG70:BG110" si="130">TEXT(O70,"00")</f>
        <v>00</v>
      </c>
      <c r="BH70" t="str">
        <f t="shared" ref="BH70:BH110" si="131">TEXT(P70,"00")</f>
        <v>00</v>
      </c>
      <c r="BI70" t="str">
        <f t="shared" ref="BI70:BI110" si="132">TEXT(Q70,"00")</f>
        <v>00</v>
      </c>
      <c r="BJ70" t="str">
        <f t="shared" ref="BJ70:BJ110" si="133">TEXT(R70,"00")</f>
        <v>00</v>
      </c>
      <c r="BK70" t="str">
        <f t="shared" ref="BK70:BK110" si="134">TEXT(S70,"00")</f>
        <v>00</v>
      </c>
      <c r="BL70" t="str">
        <f t="shared" ref="BL70:BL110" si="135">TEXT(T70,"00")</f>
        <v>00</v>
      </c>
      <c r="BM70" t="str">
        <f t="shared" ref="BM70:BM110" si="136">TEXT(U70,"00")</f>
        <v>00</v>
      </c>
      <c r="BN70" t="str">
        <f t="shared" ref="BN70:BN110" si="137">TEXT(V70,"00")</f>
        <v>00</v>
      </c>
      <c r="BO70" t="str">
        <f t="shared" ref="BO70:BO110" si="138">TEXT(COUNTIF(D70:V70,"&gt;0"),"00")</f>
        <v>04</v>
      </c>
      <c r="BP70" t="str">
        <f t="shared" ref="BP70:BP110" si="139">_xlfn.CONCAT(AV70:BO70)</f>
        <v>0104020300000000000000000000000000000004</v>
      </c>
      <c r="BQ70" t="str">
        <f t="shared" si="80"/>
        <v>Menu04 L04 N066</v>
      </c>
      <c r="BR70" t="str">
        <f t="shared" ref="BR70:BR101" si="140">"file"&amp;C70</f>
        <v>file66</v>
      </c>
      <c r="BS70" t="str">
        <f t="shared" ref="BS70:BS110" si="141">_xlfn.TEXTJOIN(",", TRUE, AR70:BR70)</f>
        <v>066,00,00,00,01,04,02,03,00,00,00,00,00,00,00,00,00,00,00,00,00,00,00,04,0104020300000000000000000000000000000004,Menu04 L04 N066,file66</v>
      </c>
    </row>
    <row r="71" spans="3:71" x14ac:dyDescent="0.25">
      <c r="C71">
        <f t="shared" si="81"/>
        <v>67</v>
      </c>
      <c r="D71">
        <v>1</v>
      </c>
      <c r="E71">
        <f t="shared" si="101"/>
        <v>4</v>
      </c>
      <c r="F71">
        <f t="shared" si="102"/>
        <v>2</v>
      </c>
      <c r="G71">
        <v>4</v>
      </c>
      <c r="W71" t="s">
        <v>1</v>
      </c>
      <c r="X71" t="str">
        <f t="shared" si="82"/>
        <v>|</v>
      </c>
      <c r="Y71" t="str">
        <f t="shared" si="83"/>
        <v>|</v>
      </c>
      <c r="Z71" t="str">
        <f t="shared" si="84"/>
        <v>└</v>
      </c>
      <c r="AA71" t="str">
        <f t="shared" si="85"/>
        <v>--</v>
      </c>
      <c r="AB71" t="str">
        <f t="shared" si="86"/>
        <v/>
      </c>
      <c r="AC71" t="str">
        <f t="shared" si="87"/>
        <v/>
      </c>
      <c r="AD71" t="str">
        <f t="shared" si="88"/>
        <v/>
      </c>
      <c r="AE71" t="str">
        <f t="shared" si="89"/>
        <v/>
      </c>
      <c r="AF71" t="str">
        <f t="shared" si="90"/>
        <v/>
      </c>
      <c r="AG71" t="str">
        <f t="shared" si="91"/>
        <v/>
      </c>
      <c r="AH71" t="str">
        <f t="shared" si="92"/>
        <v/>
      </c>
      <c r="AI71" t="str">
        <f t="shared" si="93"/>
        <v/>
      </c>
      <c r="AJ71" t="str">
        <f t="shared" si="94"/>
        <v/>
      </c>
      <c r="AK71" t="str">
        <f t="shared" si="95"/>
        <v/>
      </c>
      <c r="AL71" t="str">
        <f t="shared" si="96"/>
        <v/>
      </c>
      <c r="AM71" t="str">
        <f t="shared" si="97"/>
        <v/>
      </c>
      <c r="AN71" t="str">
        <f t="shared" si="98"/>
        <v/>
      </c>
      <c r="AO71" t="str">
        <f t="shared" si="99"/>
        <v/>
      </c>
      <c r="AP71" t="str">
        <f t="shared" si="100"/>
        <v/>
      </c>
      <c r="AQ71" t="s">
        <v>1</v>
      </c>
      <c r="AR71" t="str">
        <f t="shared" si="117"/>
        <v>067</v>
      </c>
      <c r="AS71" t="str">
        <f t="shared" si="118"/>
        <v>00</v>
      </c>
      <c r="AT71" t="str">
        <f t="shared" si="118"/>
        <v>00</v>
      </c>
      <c r="AU71" t="str">
        <f t="shared" si="118"/>
        <v>00</v>
      </c>
      <c r="AV71" t="str">
        <f t="shared" si="119"/>
        <v>01</v>
      </c>
      <c r="AW71" t="str">
        <f t="shared" si="120"/>
        <v>04</v>
      </c>
      <c r="AX71" t="str">
        <f t="shared" si="121"/>
        <v>02</v>
      </c>
      <c r="AY71" t="str">
        <f t="shared" si="122"/>
        <v>04</v>
      </c>
      <c r="AZ71" t="str">
        <f t="shared" si="123"/>
        <v>00</v>
      </c>
      <c r="BA71" t="str">
        <f t="shared" si="124"/>
        <v>00</v>
      </c>
      <c r="BB71" t="str">
        <f t="shared" si="125"/>
        <v>00</v>
      </c>
      <c r="BC71" t="str">
        <f t="shared" si="126"/>
        <v>00</v>
      </c>
      <c r="BD71" t="str">
        <f t="shared" si="127"/>
        <v>00</v>
      </c>
      <c r="BE71" t="str">
        <f t="shared" si="128"/>
        <v>00</v>
      </c>
      <c r="BF71" t="str">
        <f t="shared" si="129"/>
        <v>00</v>
      </c>
      <c r="BG71" t="str">
        <f t="shared" si="130"/>
        <v>00</v>
      </c>
      <c r="BH71" t="str">
        <f t="shared" si="131"/>
        <v>00</v>
      </c>
      <c r="BI71" t="str">
        <f t="shared" si="132"/>
        <v>00</v>
      </c>
      <c r="BJ71" t="str">
        <f t="shared" si="133"/>
        <v>00</v>
      </c>
      <c r="BK71" t="str">
        <f t="shared" si="134"/>
        <v>00</v>
      </c>
      <c r="BL71" t="str">
        <f t="shared" si="135"/>
        <v>00</v>
      </c>
      <c r="BM71" t="str">
        <f t="shared" si="136"/>
        <v>00</v>
      </c>
      <c r="BN71" t="str">
        <f t="shared" si="137"/>
        <v>00</v>
      </c>
      <c r="BO71" t="str">
        <f t="shared" si="138"/>
        <v>04</v>
      </c>
      <c r="BP71" t="str">
        <f t="shared" si="139"/>
        <v>0104020400000000000000000000000000000004</v>
      </c>
      <c r="BQ71" t="str">
        <f t="shared" ref="BQ71:BQ110" si="142">"Menu"&amp;AW71&amp;" L"&amp;BO71&amp;" N"&amp;AR71</f>
        <v>Menu04 L04 N067</v>
      </c>
      <c r="BR71" t="str">
        <f t="shared" si="140"/>
        <v>file67</v>
      </c>
      <c r="BS71" t="str">
        <f t="shared" si="141"/>
        <v>067,00,00,00,01,04,02,04,00,00,00,00,00,00,00,00,00,00,00,00,00,00,00,04,0104020400000000000000000000000000000004,Menu04 L04 N067,file67</v>
      </c>
    </row>
    <row r="72" spans="3:71" x14ac:dyDescent="0.25">
      <c r="C72">
        <f t="shared" ref="C72:C110" si="143">C71+1</f>
        <v>68</v>
      </c>
      <c r="D72">
        <v>1</v>
      </c>
      <c r="E72">
        <v>4</v>
      </c>
      <c r="F72">
        <v>2</v>
      </c>
      <c r="G72">
        <v>5</v>
      </c>
      <c r="H72">
        <v>0</v>
      </c>
      <c r="W72" t="s">
        <v>1</v>
      </c>
      <c r="X72" t="str">
        <f t="shared" si="82"/>
        <v>|</v>
      </c>
      <c r="Y72" t="str">
        <f t="shared" si="83"/>
        <v>|</v>
      </c>
      <c r="Z72" t="str">
        <f t="shared" si="84"/>
        <v>└</v>
      </c>
      <c r="AA72" t="str">
        <f t="shared" si="85"/>
        <v>--</v>
      </c>
      <c r="AB72" t="str">
        <f t="shared" si="86"/>
        <v/>
      </c>
      <c r="AC72" t="str">
        <f t="shared" si="87"/>
        <v/>
      </c>
      <c r="AD72" t="str">
        <f t="shared" si="88"/>
        <v/>
      </c>
      <c r="AE72" t="str">
        <f t="shared" si="89"/>
        <v/>
      </c>
      <c r="AF72" t="str">
        <f t="shared" si="90"/>
        <v/>
      </c>
      <c r="AG72" t="str">
        <f t="shared" si="91"/>
        <v/>
      </c>
      <c r="AH72" t="str">
        <f t="shared" si="92"/>
        <v/>
      </c>
      <c r="AI72" t="str">
        <f t="shared" si="93"/>
        <v/>
      </c>
      <c r="AJ72" t="str">
        <f t="shared" si="94"/>
        <v/>
      </c>
      <c r="AK72" t="str">
        <f t="shared" si="95"/>
        <v/>
      </c>
      <c r="AL72" t="str">
        <f t="shared" si="96"/>
        <v/>
      </c>
      <c r="AM72" t="str">
        <f t="shared" si="97"/>
        <v/>
      </c>
      <c r="AN72" t="str">
        <f t="shared" si="98"/>
        <v/>
      </c>
      <c r="AO72" t="str">
        <f t="shared" si="99"/>
        <v/>
      </c>
      <c r="AP72" t="str">
        <f t="shared" si="100"/>
        <v/>
      </c>
      <c r="AQ72" t="s">
        <v>1</v>
      </c>
      <c r="AR72" t="str">
        <f t="shared" si="117"/>
        <v>068</v>
      </c>
      <c r="AS72" t="str">
        <f t="shared" si="118"/>
        <v>00</v>
      </c>
      <c r="AT72" t="str">
        <f t="shared" si="118"/>
        <v>00</v>
      </c>
      <c r="AU72" t="str">
        <f t="shared" si="118"/>
        <v>00</v>
      </c>
      <c r="AV72" t="str">
        <f t="shared" si="119"/>
        <v>01</v>
      </c>
      <c r="AW72" t="str">
        <f t="shared" si="120"/>
        <v>04</v>
      </c>
      <c r="AX72" t="str">
        <f t="shared" si="121"/>
        <v>02</v>
      </c>
      <c r="AY72" t="str">
        <f t="shared" si="122"/>
        <v>05</v>
      </c>
      <c r="AZ72" t="str">
        <f t="shared" si="123"/>
        <v>00</v>
      </c>
      <c r="BA72" t="str">
        <f t="shared" si="124"/>
        <v>00</v>
      </c>
      <c r="BB72" t="str">
        <f t="shared" si="125"/>
        <v>00</v>
      </c>
      <c r="BC72" t="str">
        <f t="shared" si="126"/>
        <v>00</v>
      </c>
      <c r="BD72" t="str">
        <f t="shared" si="127"/>
        <v>00</v>
      </c>
      <c r="BE72" t="str">
        <f t="shared" si="128"/>
        <v>00</v>
      </c>
      <c r="BF72" t="str">
        <f t="shared" si="129"/>
        <v>00</v>
      </c>
      <c r="BG72" t="str">
        <f t="shared" si="130"/>
        <v>00</v>
      </c>
      <c r="BH72" t="str">
        <f t="shared" si="131"/>
        <v>00</v>
      </c>
      <c r="BI72" t="str">
        <f t="shared" si="132"/>
        <v>00</v>
      </c>
      <c r="BJ72" t="str">
        <f t="shared" si="133"/>
        <v>00</v>
      </c>
      <c r="BK72" t="str">
        <f t="shared" si="134"/>
        <v>00</v>
      </c>
      <c r="BL72" t="str">
        <f t="shared" si="135"/>
        <v>00</v>
      </c>
      <c r="BM72" t="str">
        <f t="shared" si="136"/>
        <v>00</v>
      </c>
      <c r="BN72" t="str">
        <f t="shared" si="137"/>
        <v>00</v>
      </c>
      <c r="BO72" t="str">
        <f t="shared" si="138"/>
        <v>04</v>
      </c>
      <c r="BP72" t="str">
        <f t="shared" si="139"/>
        <v>0104020500000000000000000000000000000004</v>
      </c>
      <c r="BQ72" t="str">
        <f t="shared" si="142"/>
        <v>Menu04 L04 N068</v>
      </c>
      <c r="BR72" t="str">
        <f t="shared" si="140"/>
        <v>file68</v>
      </c>
      <c r="BS72" t="str">
        <f t="shared" si="141"/>
        <v>068,00,00,00,01,04,02,05,00,00,00,00,00,00,00,00,00,00,00,00,00,00,00,04,0104020500000000000000000000000000000004,Menu04 L04 N068,file68</v>
      </c>
    </row>
    <row r="73" spans="3:71" x14ac:dyDescent="0.25">
      <c r="C73">
        <f t="shared" si="143"/>
        <v>69</v>
      </c>
      <c r="D73">
        <v>1</v>
      </c>
      <c r="E73">
        <f>E71</f>
        <v>4</v>
      </c>
      <c r="F73">
        <f>F71</f>
        <v>2</v>
      </c>
      <c r="G73">
        <v>5</v>
      </c>
      <c r="H73">
        <v>1</v>
      </c>
      <c r="W73" t="s">
        <v>1</v>
      </c>
      <c r="X73" t="str">
        <f t="shared" si="82"/>
        <v>|</v>
      </c>
      <c r="Y73" t="str">
        <f t="shared" si="83"/>
        <v>|</v>
      </c>
      <c r="Z73" t="str">
        <f t="shared" si="84"/>
        <v>|</v>
      </c>
      <c r="AA73" t="str">
        <f t="shared" si="85"/>
        <v>└</v>
      </c>
      <c r="AB73" t="str">
        <f t="shared" si="86"/>
        <v>--</v>
      </c>
      <c r="AC73" t="str">
        <f t="shared" si="87"/>
        <v/>
      </c>
      <c r="AD73" t="str">
        <f t="shared" si="88"/>
        <v/>
      </c>
      <c r="AE73" t="str">
        <f t="shared" si="89"/>
        <v/>
      </c>
      <c r="AF73" t="str">
        <f t="shared" si="90"/>
        <v/>
      </c>
      <c r="AG73" t="str">
        <f t="shared" si="91"/>
        <v/>
      </c>
      <c r="AH73" t="str">
        <f t="shared" si="92"/>
        <v/>
      </c>
      <c r="AI73" t="str">
        <f t="shared" si="93"/>
        <v/>
      </c>
      <c r="AJ73" t="str">
        <f t="shared" si="94"/>
        <v/>
      </c>
      <c r="AK73" t="str">
        <f t="shared" si="95"/>
        <v/>
      </c>
      <c r="AL73" t="str">
        <f t="shared" si="96"/>
        <v/>
      </c>
      <c r="AM73" t="str">
        <f t="shared" si="97"/>
        <v/>
      </c>
      <c r="AN73" t="str">
        <f t="shared" si="98"/>
        <v/>
      </c>
      <c r="AO73" t="str">
        <f t="shared" si="99"/>
        <v/>
      </c>
      <c r="AP73" t="str">
        <f t="shared" si="100"/>
        <v/>
      </c>
      <c r="AQ73" t="s">
        <v>1</v>
      </c>
      <c r="AR73" t="str">
        <f t="shared" si="117"/>
        <v>069</v>
      </c>
      <c r="AS73" t="str">
        <f t="shared" si="118"/>
        <v>00</v>
      </c>
      <c r="AT73" t="str">
        <f t="shared" si="118"/>
        <v>00</v>
      </c>
      <c r="AU73" t="str">
        <f t="shared" si="118"/>
        <v>00</v>
      </c>
      <c r="AV73" t="str">
        <f t="shared" si="119"/>
        <v>01</v>
      </c>
      <c r="AW73" t="str">
        <f t="shared" si="120"/>
        <v>04</v>
      </c>
      <c r="AX73" t="str">
        <f t="shared" si="121"/>
        <v>02</v>
      </c>
      <c r="AY73" t="str">
        <f t="shared" si="122"/>
        <v>05</v>
      </c>
      <c r="AZ73" t="str">
        <f t="shared" si="123"/>
        <v>01</v>
      </c>
      <c r="BA73" t="str">
        <f t="shared" si="124"/>
        <v>00</v>
      </c>
      <c r="BB73" t="str">
        <f t="shared" si="125"/>
        <v>00</v>
      </c>
      <c r="BC73" t="str">
        <f t="shared" si="126"/>
        <v>00</v>
      </c>
      <c r="BD73" t="str">
        <f t="shared" si="127"/>
        <v>00</v>
      </c>
      <c r="BE73" t="str">
        <f t="shared" si="128"/>
        <v>00</v>
      </c>
      <c r="BF73" t="str">
        <f t="shared" si="129"/>
        <v>00</v>
      </c>
      <c r="BG73" t="str">
        <f t="shared" si="130"/>
        <v>00</v>
      </c>
      <c r="BH73" t="str">
        <f t="shared" si="131"/>
        <v>00</v>
      </c>
      <c r="BI73" t="str">
        <f t="shared" si="132"/>
        <v>00</v>
      </c>
      <c r="BJ73" t="str">
        <f t="shared" si="133"/>
        <v>00</v>
      </c>
      <c r="BK73" t="str">
        <f t="shared" si="134"/>
        <v>00</v>
      </c>
      <c r="BL73" t="str">
        <f t="shared" si="135"/>
        <v>00</v>
      </c>
      <c r="BM73" t="str">
        <f t="shared" si="136"/>
        <v>00</v>
      </c>
      <c r="BN73" t="str">
        <f t="shared" si="137"/>
        <v>00</v>
      </c>
      <c r="BO73" t="str">
        <f t="shared" si="138"/>
        <v>05</v>
      </c>
      <c r="BP73" t="str">
        <f t="shared" si="139"/>
        <v>0104020501000000000000000000000000000005</v>
      </c>
      <c r="BQ73" t="str">
        <f t="shared" si="142"/>
        <v>Menu04 L05 N069</v>
      </c>
      <c r="BR73" t="str">
        <f t="shared" si="140"/>
        <v>file69</v>
      </c>
      <c r="BS73" t="str">
        <f t="shared" si="141"/>
        <v>069,00,00,00,01,04,02,05,01,00,00,00,00,00,00,00,00,00,00,00,00,00,00,05,0104020501000000000000000000000000000005,Menu04 L05 N069,file69</v>
      </c>
    </row>
    <row r="74" spans="3:71" x14ac:dyDescent="0.25">
      <c r="C74">
        <f t="shared" si="143"/>
        <v>70</v>
      </c>
      <c r="D74">
        <v>1</v>
      </c>
      <c r="E74">
        <f t="shared" si="101"/>
        <v>4</v>
      </c>
      <c r="F74">
        <f t="shared" si="102"/>
        <v>2</v>
      </c>
      <c r="G74">
        <v>5</v>
      </c>
      <c r="H74">
        <v>2</v>
      </c>
      <c r="W74" t="s">
        <v>1</v>
      </c>
      <c r="X74" t="str">
        <f t="shared" si="82"/>
        <v>|</v>
      </c>
      <c r="Y74" t="str">
        <f t="shared" si="83"/>
        <v>|</v>
      </c>
      <c r="Z74" t="str">
        <f t="shared" si="84"/>
        <v>|</v>
      </c>
      <c r="AA74" t="str">
        <f t="shared" si="85"/>
        <v>└</v>
      </c>
      <c r="AB74" t="str">
        <f t="shared" si="86"/>
        <v>--</v>
      </c>
      <c r="AC74" t="str">
        <f t="shared" si="87"/>
        <v/>
      </c>
      <c r="AD74" t="str">
        <f t="shared" si="88"/>
        <v/>
      </c>
      <c r="AE74" t="str">
        <f t="shared" si="89"/>
        <v/>
      </c>
      <c r="AF74" t="str">
        <f t="shared" si="90"/>
        <v/>
      </c>
      <c r="AG74" t="str">
        <f t="shared" si="91"/>
        <v/>
      </c>
      <c r="AH74" t="str">
        <f t="shared" si="92"/>
        <v/>
      </c>
      <c r="AI74" t="str">
        <f t="shared" si="93"/>
        <v/>
      </c>
      <c r="AJ74" t="str">
        <f t="shared" si="94"/>
        <v/>
      </c>
      <c r="AK74" t="str">
        <f t="shared" si="95"/>
        <v/>
      </c>
      <c r="AL74" t="str">
        <f t="shared" si="96"/>
        <v/>
      </c>
      <c r="AM74" t="str">
        <f t="shared" si="97"/>
        <v/>
      </c>
      <c r="AN74" t="str">
        <f t="shared" si="98"/>
        <v/>
      </c>
      <c r="AO74" t="str">
        <f t="shared" si="99"/>
        <v/>
      </c>
      <c r="AP74" t="str">
        <f t="shared" si="100"/>
        <v/>
      </c>
      <c r="AQ74" t="s">
        <v>1</v>
      </c>
      <c r="AR74" t="str">
        <f t="shared" si="117"/>
        <v>070</v>
      </c>
      <c r="AS74" t="str">
        <f t="shared" si="118"/>
        <v>00</v>
      </c>
      <c r="AT74" t="str">
        <f t="shared" si="118"/>
        <v>00</v>
      </c>
      <c r="AU74" t="str">
        <f t="shared" si="118"/>
        <v>00</v>
      </c>
      <c r="AV74" t="str">
        <f t="shared" si="119"/>
        <v>01</v>
      </c>
      <c r="AW74" t="str">
        <f t="shared" si="120"/>
        <v>04</v>
      </c>
      <c r="AX74" t="str">
        <f t="shared" si="121"/>
        <v>02</v>
      </c>
      <c r="AY74" t="str">
        <f t="shared" si="122"/>
        <v>05</v>
      </c>
      <c r="AZ74" t="str">
        <f t="shared" si="123"/>
        <v>02</v>
      </c>
      <c r="BA74" t="str">
        <f t="shared" si="124"/>
        <v>00</v>
      </c>
      <c r="BB74" t="str">
        <f t="shared" si="125"/>
        <v>00</v>
      </c>
      <c r="BC74" t="str">
        <f t="shared" si="126"/>
        <v>00</v>
      </c>
      <c r="BD74" t="str">
        <f t="shared" si="127"/>
        <v>00</v>
      </c>
      <c r="BE74" t="str">
        <f t="shared" si="128"/>
        <v>00</v>
      </c>
      <c r="BF74" t="str">
        <f t="shared" si="129"/>
        <v>00</v>
      </c>
      <c r="BG74" t="str">
        <f t="shared" si="130"/>
        <v>00</v>
      </c>
      <c r="BH74" t="str">
        <f t="shared" si="131"/>
        <v>00</v>
      </c>
      <c r="BI74" t="str">
        <f t="shared" si="132"/>
        <v>00</v>
      </c>
      <c r="BJ74" t="str">
        <f t="shared" si="133"/>
        <v>00</v>
      </c>
      <c r="BK74" t="str">
        <f t="shared" si="134"/>
        <v>00</v>
      </c>
      <c r="BL74" t="str">
        <f t="shared" si="135"/>
        <v>00</v>
      </c>
      <c r="BM74" t="str">
        <f t="shared" si="136"/>
        <v>00</v>
      </c>
      <c r="BN74" t="str">
        <f t="shared" si="137"/>
        <v>00</v>
      </c>
      <c r="BO74" t="str">
        <f t="shared" si="138"/>
        <v>05</v>
      </c>
      <c r="BP74" t="str">
        <f t="shared" si="139"/>
        <v>0104020502000000000000000000000000000005</v>
      </c>
      <c r="BQ74" t="str">
        <f t="shared" si="142"/>
        <v>Menu04 L05 N070</v>
      </c>
      <c r="BR74" t="str">
        <f t="shared" si="140"/>
        <v>file70</v>
      </c>
      <c r="BS74" t="str">
        <f t="shared" si="141"/>
        <v>070,00,00,00,01,04,02,05,02,00,00,00,00,00,00,00,00,00,00,00,00,00,00,05,0104020502000000000000000000000000000005,Menu04 L05 N070,file70</v>
      </c>
    </row>
    <row r="75" spans="3:71" x14ac:dyDescent="0.25">
      <c r="C75">
        <f t="shared" si="143"/>
        <v>71</v>
      </c>
      <c r="D75">
        <v>1</v>
      </c>
      <c r="E75">
        <f t="shared" si="101"/>
        <v>4</v>
      </c>
      <c r="F75">
        <f t="shared" si="102"/>
        <v>2</v>
      </c>
      <c r="G75">
        <v>6</v>
      </c>
      <c r="W75" t="s">
        <v>1</v>
      </c>
      <c r="X75" t="str">
        <f t="shared" si="82"/>
        <v>|</v>
      </c>
      <c r="Y75" t="str">
        <f t="shared" si="83"/>
        <v>|</v>
      </c>
      <c r="Z75" t="str">
        <f t="shared" si="84"/>
        <v>└</v>
      </c>
      <c r="AA75" t="str">
        <f t="shared" si="85"/>
        <v>--</v>
      </c>
      <c r="AB75" t="str">
        <f t="shared" si="86"/>
        <v/>
      </c>
      <c r="AC75" t="str">
        <f t="shared" si="87"/>
        <v/>
      </c>
      <c r="AD75" t="str">
        <f t="shared" si="88"/>
        <v/>
      </c>
      <c r="AE75" t="str">
        <f t="shared" si="89"/>
        <v/>
      </c>
      <c r="AF75" t="str">
        <f t="shared" si="90"/>
        <v/>
      </c>
      <c r="AG75" t="str">
        <f t="shared" si="91"/>
        <v/>
      </c>
      <c r="AH75" t="str">
        <f t="shared" si="92"/>
        <v/>
      </c>
      <c r="AI75" t="str">
        <f t="shared" si="93"/>
        <v/>
      </c>
      <c r="AJ75" t="str">
        <f t="shared" si="94"/>
        <v/>
      </c>
      <c r="AK75" t="str">
        <f t="shared" si="95"/>
        <v/>
      </c>
      <c r="AL75" t="str">
        <f t="shared" si="96"/>
        <v/>
      </c>
      <c r="AM75" t="str">
        <f t="shared" si="97"/>
        <v/>
      </c>
      <c r="AN75" t="str">
        <f t="shared" si="98"/>
        <v/>
      </c>
      <c r="AO75" t="str">
        <f t="shared" si="99"/>
        <v/>
      </c>
      <c r="AP75" t="str">
        <f t="shared" si="100"/>
        <v/>
      </c>
      <c r="AQ75" t="s">
        <v>1</v>
      </c>
      <c r="AR75" t="str">
        <f t="shared" si="117"/>
        <v>071</v>
      </c>
      <c r="AS75" t="str">
        <f t="shared" si="118"/>
        <v>00</v>
      </c>
      <c r="AT75" t="str">
        <f t="shared" si="118"/>
        <v>00</v>
      </c>
      <c r="AU75" t="str">
        <f t="shared" si="118"/>
        <v>00</v>
      </c>
      <c r="AV75" t="str">
        <f t="shared" si="119"/>
        <v>01</v>
      </c>
      <c r="AW75" t="str">
        <f t="shared" si="120"/>
        <v>04</v>
      </c>
      <c r="AX75" t="str">
        <f t="shared" si="121"/>
        <v>02</v>
      </c>
      <c r="AY75" t="str">
        <f t="shared" si="122"/>
        <v>06</v>
      </c>
      <c r="AZ75" t="str">
        <f t="shared" si="123"/>
        <v>00</v>
      </c>
      <c r="BA75" t="str">
        <f t="shared" si="124"/>
        <v>00</v>
      </c>
      <c r="BB75" t="str">
        <f t="shared" si="125"/>
        <v>00</v>
      </c>
      <c r="BC75" t="str">
        <f t="shared" si="126"/>
        <v>00</v>
      </c>
      <c r="BD75" t="str">
        <f t="shared" si="127"/>
        <v>00</v>
      </c>
      <c r="BE75" t="str">
        <f t="shared" si="128"/>
        <v>00</v>
      </c>
      <c r="BF75" t="str">
        <f t="shared" si="129"/>
        <v>00</v>
      </c>
      <c r="BG75" t="str">
        <f t="shared" si="130"/>
        <v>00</v>
      </c>
      <c r="BH75" t="str">
        <f t="shared" si="131"/>
        <v>00</v>
      </c>
      <c r="BI75" t="str">
        <f t="shared" si="132"/>
        <v>00</v>
      </c>
      <c r="BJ75" t="str">
        <f t="shared" si="133"/>
        <v>00</v>
      </c>
      <c r="BK75" t="str">
        <f t="shared" si="134"/>
        <v>00</v>
      </c>
      <c r="BL75" t="str">
        <f t="shared" si="135"/>
        <v>00</v>
      </c>
      <c r="BM75" t="str">
        <f t="shared" si="136"/>
        <v>00</v>
      </c>
      <c r="BN75" t="str">
        <f t="shared" si="137"/>
        <v>00</v>
      </c>
      <c r="BO75" t="str">
        <f t="shared" si="138"/>
        <v>04</v>
      </c>
      <c r="BP75" t="str">
        <f t="shared" si="139"/>
        <v>0104020600000000000000000000000000000004</v>
      </c>
      <c r="BQ75" t="str">
        <f t="shared" si="142"/>
        <v>Menu04 L04 N071</v>
      </c>
      <c r="BR75" t="str">
        <f t="shared" si="140"/>
        <v>file71</v>
      </c>
      <c r="BS75" t="str">
        <f t="shared" si="141"/>
        <v>071,00,00,00,01,04,02,06,00,00,00,00,00,00,00,00,00,00,00,00,00,00,00,04,0104020600000000000000000000000000000004,Menu04 L04 N071,file71</v>
      </c>
    </row>
    <row r="76" spans="3:71" x14ac:dyDescent="0.25">
      <c r="C76">
        <f t="shared" si="143"/>
        <v>72</v>
      </c>
      <c r="D76">
        <v>1</v>
      </c>
      <c r="E76">
        <f t="shared" si="101"/>
        <v>4</v>
      </c>
      <c r="F76">
        <v>3</v>
      </c>
      <c r="W76" t="s">
        <v>1</v>
      </c>
      <c r="X76" t="str">
        <f t="shared" si="82"/>
        <v>|</v>
      </c>
      <c r="Y76" t="str">
        <f t="shared" si="83"/>
        <v>└</v>
      </c>
      <c r="Z76" t="str">
        <f t="shared" si="84"/>
        <v>--</v>
      </c>
      <c r="AA76" t="str">
        <f t="shared" si="85"/>
        <v/>
      </c>
      <c r="AB76" t="str">
        <f t="shared" si="86"/>
        <v/>
      </c>
      <c r="AC76" t="str">
        <f t="shared" si="87"/>
        <v/>
      </c>
      <c r="AD76" t="str">
        <f t="shared" si="88"/>
        <v/>
      </c>
      <c r="AE76" t="str">
        <f t="shared" si="89"/>
        <v/>
      </c>
      <c r="AF76" t="str">
        <f t="shared" si="90"/>
        <v/>
      </c>
      <c r="AG76" t="str">
        <f t="shared" si="91"/>
        <v/>
      </c>
      <c r="AH76" t="str">
        <f t="shared" si="92"/>
        <v/>
      </c>
      <c r="AI76" t="str">
        <f t="shared" si="93"/>
        <v/>
      </c>
      <c r="AJ76" t="str">
        <f t="shared" si="94"/>
        <v/>
      </c>
      <c r="AK76" t="str">
        <f t="shared" si="95"/>
        <v/>
      </c>
      <c r="AL76" t="str">
        <f t="shared" si="96"/>
        <v/>
      </c>
      <c r="AM76" t="str">
        <f t="shared" si="97"/>
        <v/>
      </c>
      <c r="AN76" t="str">
        <f t="shared" si="98"/>
        <v/>
      </c>
      <c r="AO76" t="str">
        <f t="shared" si="99"/>
        <v/>
      </c>
      <c r="AP76" t="str">
        <f t="shared" si="100"/>
        <v/>
      </c>
      <c r="AQ76" t="s">
        <v>1</v>
      </c>
      <c r="AR76" t="str">
        <f t="shared" si="117"/>
        <v>072</v>
      </c>
      <c r="AS76" t="str">
        <f t="shared" si="118"/>
        <v>00</v>
      </c>
      <c r="AT76" t="str">
        <f t="shared" si="118"/>
        <v>00</v>
      </c>
      <c r="AU76" t="str">
        <f t="shared" si="118"/>
        <v>00</v>
      </c>
      <c r="AV76" t="str">
        <f t="shared" si="119"/>
        <v>01</v>
      </c>
      <c r="AW76" t="str">
        <f t="shared" si="120"/>
        <v>04</v>
      </c>
      <c r="AX76" t="str">
        <f t="shared" si="121"/>
        <v>03</v>
      </c>
      <c r="AY76" t="str">
        <f t="shared" si="122"/>
        <v>00</v>
      </c>
      <c r="AZ76" t="str">
        <f t="shared" si="123"/>
        <v>00</v>
      </c>
      <c r="BA76" t="str">
        <f t="shared" si="124"/>
        <v>00</v>
      </c>
      <c r="BB76" t="str">
        <f t="shared" si="125"/>
        <v>00</v>
      </c>
      <c r="BC76" t="str">
        <f t="shared" si="126"/>
        <v>00</v>
      </c>
      <c r="BD76" t="str">
        <f t="shared" si="127"/>
        <v>00</v>
      </c>
      <c r="BE76" t="str">
        <f t="shared" si="128"/>
        <v>00</v>
      </c>
      <c r="BF76" t="str">
        <f t="shared" si="129"/>
        <v>00</v>
      </c>
      <c r="BG76" t="str">
        <f t="shared" si="130"/>
        <v>00</v>
      </c>
      <c r="BH76" t="str">
        <f t="shared" si="131"/>
        <v>00</v>
      </c>
      <c r="BI76" t="str">
        <f t="shared" si="132"/>
        <v>00</v>
      </c>
      <c r="BJ76" t="str">
        <f t="shared" si="133"/>
        <v>00</v>
      </c>
      <c r="BK76" t="str">
        <f t="shared" si="134"/>
        <v>00</v>
      </c>
      <c r="BL76" t="str">
        <f t="shared" si="135"/>
        <v>00</v>
      </c>
      <c r="BM76" t="str">
        <f t="shared" si="136"/>
        <v>00</v>
      </c>
      <c r="BN76" t="str">
        <f t="shared" si="137"/>
        <v>00</v>
      </c>
      <c r="BO76" t="str">
        <f t="shared" si="138"/>
        <v>03</v>
      </c>
      <c r="BP76" t="str">
        <f t="shared" si="139"/>
        <v>0104030000000000000000000000000000000003</v>
      </c>
      <c r="BQ76" t="str">
        <f t="shared" si="142"/>
        <v>Menu04 L03 N072</v>
      </c>
      <c r="BR76" t="str">
        <f t="shared" si="140"/>
        <v>file72</v>
      </c>
      <c r="BS76" t="str">
        <f t="shared" si="141"/>
        <v>072,00,00,00,01,04,03,00,00,00,00,00,00,00,00,00,00,00,00,00,00,00,00,03,0104030000000000000000000000000000000003,Menu04 L03 N072,file72</v>
      </c>
    </row>
    <row r="77" spans="3:71" x14ac:dyDescent="0.25">
      <c r="C77">
        <f t="shared" si="143"/>
        <v>73</v>
      </c>
      <c r="D77">
        <v>1</v>
      </c>
      <c r="E77">
        <v>4</v>
      </c>
      <c r="F77">
        <v>4</v>
      </c>
      <c r="G77">
        <v>0</v>
      </c>
      <c r="W77" t="s">
        <v>1</v>
      </c>
      <c r="X77" t="str">
        <f t="shared" si="82"/>
        <v>|</v>
      </c>
      <c r="Y77" t="str">
        <f t="shared" si="83"/>
        <v>└</v>
      </c>
      <c r="Z77" t="str">
        <f t="shared" si="84"/>
        <v>--</v>
      </c>
      <c r="AA77" t="str">
        <f t="shared" si="85"/>
        <v/>
      </c>
      <c r="AB77" t="str">
        <f t="shared" si="86"/>
        <v/>
      </c>
      <c r="AC77" t="str">
        <f t="shared" si="87"/>
        <v/>
      </c>
      <c r="AD77" t="str">
        <f t="shared" si="88"/>
        <v/>
      </c>
      <c r="AE77" t="str">
        <f t="shared" si="89"/>
        <v/>
      </c>
      <c r="AF77" t="str">
        <f t="shared" si="90"/>
        <v/>
      </c>
      <c r="AG77" t="str">
        <f t="shared" si="91"/>
        <v/>
      </c>
      <c r="AH77" t="str">
        <f t="shared" si="92"/>
        <v/>
      </c>
      <c r="AI77" t="str">
        <f t="shared" si="93"/>
        <v/>
      </c>
      <c r="AJ77" t="str">
        <f t="shared" si="94"/>
        <v/>
      </c>
      <c r="AK77" t="str">
        <f t="shared" si="95"/>
        <v/>
      </c>
      <c r="AL77" t="str">
        <f t="shared" si="96"/>
        <v/>
      </c>
      <c r="AM77" t="str">
        <f t="shared" si="97"/>
        <v/>
      </c>
      <c r="AN77" t="str">
        <f t="shared" si="98"/>
        <v/>
      </c>
      <c r="AO77" t="str">
        <f t="shared" si="99"/>
        <v/>
      </c>
      <c r="AP77" t="str">
        <f t="shared" si="100"/>
        <v/>
      </c>
      <c r="AQ77" t="s">
        <v>1</v>
      </c>
      <c r="AR77" t="str">
        <f t="shared" si="117"/>
        <v>073</v>
      </c>
      <c r="AS77" t="str">
        <f t="shared" si="118"/>
        <v>00</v>
      </c>
      <c r="AT77" t="str">
        <f t="shared" si="118"/>
        <v>00</v>
      </c>
      <c r="AU77" t="str">
        <f t="shared" si="118"/>
        <v>00</v>
      </c>
      <c r="AV77" t="str">
        <f t="shared" si="119"/>
        <v>01</v>
      </c>
      <c r="AW77" t="str">
        <f t="shared" si="120"/>
        <v>04</v>
      </c>
      <c r="AX77" t="str">
        <f t="shared" si="121"/>
        <v>04</v>
      </c>
      <c r="AY77" t="str">
        <f t="shared" si="122"/>
        <v>00</v>
      </c>
      <c r="AZ77" t="str">
        <f t="shared" si="123"/>
        <v>00</v>
      </c>
      <c r="BA77" t="str">
        <f t="shared" si="124"/>
        <v>00</v>
      </c>
      <c r="BB77" t="str">
        <f t="shared" si="125"/>
        <v>00</v>
      </c>
      <c r="BC77" t="str">
        <f t="shared" si="126"/>
        <v>00</v>
      </c>
      <c r="BD77" t="str">
        <f t="shared" si="127"/>
        <v>00</v>
      </c>
      <c r="BE77" t="str">
        <f t="shared" si="128"/>
        <v>00</v>
      </c>
      <c r="BF77" t="str">
        <f t="shared" si="129"/>
        <v>00</v>
      </c>
      <c r="BG77" t="str">
        <f t="shared" si="130"/>
        <v>00</v>
      </c>
      <c r="BH77" t="str">
        <f t="shared" si="131"/>
        <v>00</v>
      </c>
      <c r="BI77" t="str">
        <f t="shared" si="132"/>
        <v>00</v>
      </c>
      <c r="BJ77" t="str">
        <f t="shared" si="133"/>
        <v>00</v>
      </c>
      <c r="BK77" t="str">
        <f t="shared" si="134"/>
        <v>00</v>
      </c>
      <c r="BL77" t="str">
        <f t="shared" si="135"/>
        <v>00</v>
      </c>
      <c r="BM77" t="str">
        <f t="shared" si="136"/>
        <v>00</v>
      </c>
      <c r="BN77" t="str">
        <f t="shared" si="137"/>
        <v>00</v>
      </c>
      <c r="BO77" t="str">
        <f t="shared" si="138"/>
        <v>03</v>
      </c>
      <c r="BP77" t="str">
        <f t="shared" si="139"/>
        <v>0104040000000000000000000000000000000003</v>
      </c>
      <c r="BQ77" t="str">
        <f t="shared" si="142"/>
        <v>Menu04 L03 N073</v>
      </c>
      <c r="BR77" t="str">
        <f t="shared" si="140"/>
        <v>file73</v>
      </c>
      <c r="BS77" t="str">
        <f t="shared" si="141"/>
        <v>073,00,00,00,01,04,04,00,00,00,00,00,00,00,00,00,00,00,00,00,00,00,00,03,0104040000000000000000000000000000000003,Menu04 L03 N073,file73</v>
      </c>
    </row>
    <row r="78" spans="3:71" x14ac:dyDescent="0.25">
      <c r="C78">
        <f t="shared" si="143"/>
        <v>74</v>
      </c>
      <c r="D78">
        <v>1</v>
      </c>
      <c r="E78">
        <f>E76</f>
        <v>4</v>
      </c>
      <c r="F78">
        <v>4</v>
      </c>
      <c r="G78">
        <v>1</v>
      </c>
      <c r="W78" t="s">
        <v>1</v>
      </c>
      <c r="X78" t="str">
        <f t="shared" si="82"/>
        <v>|</v>
      </c>
      <c r="Y78" t="str">
        <f t="shared" si="83"/>
        <v>|</v>
      </c>
      <c r="Z78" t="str">
        <f t="shared" si="84"/>
        <v>└</v>
      </c>
      <c r="AA78" t="str">
        <f t="shared" si="85"/>
        <v>--</v>
      </c>
      <c r="AB78" t="str">
        <f t="shared" si="86"/>
        <v/>
      </c>
      <c r="AC78" t="str">
        <f t="shared" si="87"/>
        <v/>
      </c>
      <c r="AD78" t="str">
        <f t="shared" si="88"/>
        <v/>
      </c>
      <c r="AE78" t="str">
        <f t="shared" si="89"/>
        <v/>
      </c>
      <c r="AF78" t="str">
        <f t="shared" si="90"/>
        <v/>
      </c>
      <c r="AG78" t="str">
        <f t="shared" si="91"/>
        <v/>
      </c>
      <c r="AH78" t="str">
        <f t="shared" si="92"/>
        <v/>
      </c>
      <c r="AI78" t="str">
        <f t="shared" si="93"/>
        <v/>
      </c>
      <c r="AJ78" t="str">
        <f t="shared" si="94"/>
        <v/>
      </c>
      <c r="AK78" t="str">
        <f t="shared" si="95"/>
        <v/>
      </c>
      <c r="AL78" t="str">
        <f t="shared" si="96"/>
        <v/>
      </c>
      <c r="AM78" t="str">
        <f t="shared" si="97"/>
        <v/>
      </c>
      <c r="AN78" t="str">
        <f t="shared" si="98"/>
        <v/>
      </c>
      <c r="AO78" t="str">
        <f t="shared" si="99"/>
        <v/>
      </c>
      <c r="AP78" t="str">
        <f t="shared" si="100"/>
        <v/>
      </c>
      <c r="AQ78" t="s">
        <v>1</v>
      </c>
      <c r="AR78" t="str">
        <f t="shared" si="117"/>
        <v>074</v>
      </c>
      <c r="AS78" t="str">
        <f t="shared" si="118"/>
        <v>00</v>
      </c>
      <c r="AT78" t="str">
        <f t="shared" si="118"/>
        <v>00</v>
      </c>
      <c r="AU78" t="str">
        <f t="shared" si="118"/>
        <v>00</v>
      </c>
      <c r="AV78" t="str">
        <f t="shared" si="119"/>
        <v>01</v>
      </c>
      <c r="AW78" t="str">
        <f t="shared" si="120"/>
        <v>04</v>
      </c>
      <c r="AX78" t="str">
        <f t="shared" si="121"/>
        <v>04</v>
      </c>
      <c r="AY78" t="str">
        <f t="shared" si="122"/>
        <v>01</v>
      </c>
      <c r="AZ78" t="str">
        <f t="shared" si="123"/>
        <v>00</v>
      </c>
      <c r="BA78" t="str">
        <f t="shared" si="124"/>
        <v>00</v>
      </c>
      <c r="BB78" t="str">
        <f t="shared" si="125"/>
        <v>00</v>
      </c>
      <c r="BC78" t="str">
        <f t="shared" si="126"/>
        <v>00</v>
      </c>
      <c r="BD78" t="str">
        <f t="shared" si="127"/>
        <v>00</v>
      </c>
      <c r="BE78" t="str">
        <f t="shared" si="128"/>
        <v>00</v>
      </c>
      <c r="BF78" t="str">
        <f t="shared" si="129"/>
        <v>00</v>
      </c>
      <c r="BG78" t="str">
        <f t="shared" si="130"/>
        <v>00</v>
      </c>
      <c r="BH78" t="str">
        <f t="shared" si="131"/>
        <v>00</v>
      </c>
      <c r="BI78" t="str">
        <f t="shared" si="132"/>
        <v>00</v>
      </c>
      <c r="BJ78" t="str">
        <f t="shared" si="133"/>
        <v>00</v>
      </c>
      <c r="BK78" t="str">
        <f t="shared" si="134"/>
        <v>00</v>
      </c>
      <c r="BL78" t="str">
        <f t="shared" si="135"/>
        <v>00</v>
      </c>
      <c r="BM78" t="str">
        <f t="shared" si="136"/>
        <v>00</v>
      </c>
      <c r="BN78" t="str">
        <f t="shared" si="137"/>
        <v>00</v>
      </c>
      <c r="BO78" t="str">
        <f t="shared" si="138"/>
        <v>04</v>
      </c>
      <c r="BP78" t="str">
        <f t="shared" si="139"/>
        <v>0104040100000000000000000000000000000004</v>
      </c>
      <c r="BQ78" t="str">
        <f t="shared" si="142"/>
        <v>Menu04 L04 N074</v>
      </c>
      <c r="BR78" t="str">
        <f t="shared" si="140"/>
        <v>file74</v>
      </c>
      <c r="BS78" t="str">
        <f t="shared" si="141"/>
        <v>074,00,00,00,01,04,04,01,00,00,00,00,00,00,00,00,00,00,00,00,00,00,00,04,0104040100000000000000000000000000000004,Menu04 L04 N074,file74</v>
      </c>
    </row>
    <row r="79" spans="3:71" x14ac:dyDescent="0.25">
      <c r="C79">
        <f t="shared" si="143"/>
        <v>75</v>
      </c>
      <c r="D79">
        <v>1</v>
      </c>
      <c r="E79">
        <f t="shared" si="101"/>
        <v>4</v>
      </c>
      <c r="F79">
        <v>4</v>
      </c>
      <c r="G79">
        <v>2</v>
      </c>
      <c r="W79" t="s">
        <v>1</v>
      </c>
      <c r="X79" t="str">
        <f t="shared" si="82"/>
        <v>|</v>
      </c>
      <c r="Y79" t="str">
        <f t="shared" si="83"/>
        <v>|</v>
      </c>
      <c r="Z79" t="str">
        <f t="shared" si="84"/>
        <v>└</v>
      </c>
      <c r="AA79" t="str">
        <f t="shared" si="85"/>
        <v>--</v>
      </c>
      <c r="AB79" t="str">
        <f t="shared" si="86"/>
        <v/>
      </c>
      <c r="AC79" t="str">
        <f t="shared" si="87"/>
        <v/>
      </c>
      <c r="AD79" t="str">
        <f t="shared" si="88"/>
        <v/>
      </c>
      <c r="AE79" t="str">
        <f t="shared" si="89"/>
        <v/>
      </c>
      <c r="AF79" t="str">
        <f t="shared" si="90"/>
        <v/>
      </c>
      <c r="AG79" t="str">
        <f t="shared" si="91"/>
        <v/>
      </c>
      <c r="AH79" t="str">
        <f t="shared" si="92"/>
        <v/>
      </c>
      <c r="AI79" t="str">
        <f t="shared" si="93"/>
        <v/>
      </c>
      <c r="AJ79" t="str">
        <f t="shared" si="94"/>
        <v/>
      </c>
      <c r="AK79" t="str">
        <f t="shared" si="95"/>
        <v/>
      </c>
      <c r="AL79" t="str">
        <f t="shared" si="96"/>
        <v/>
      </c>
      <c r="AM79" t="str">
        <f t="shared" si="97"/>
        <v/>
      </c>
      <c r="AN79" t="str">
        <f t="shared" si="98"/>
        <v/>
      </c>
      <c r="AO79" t="str">
        <f t="shared" si="99"/>
        <v/>
      </c>
      <c r="AP79" t="str">
        <f t="shared" si="100"/>
        <v/>
      </c>
      <c r="AQ79" t="s">
        <v>1</v>
      </c>
      <c r="AR79" t="str">
        <f t="shared" si="117"/>
        <v>075</v>
      </c>
      <c r="AS79" t="str">
        <f t="shared" si="118"/>
        <v>00</v>
      </c>
      <c r="AT79" t="str">
        <f t="shared" si="118"/>
        <v>00</v>
      </c>
      <c r="AU79" t="str">
        <f t="shared" si="118"/>
        <v>00</v>
      </c>
      <c r="AV79" t="str">
        <f t="shared" si="119"/>
        <v>01</v>
      </c>
      <c r="AW79" t="str">
        <f t="shared" si="120"/>
        <v>04</v>
      </c>
      <c r="AX79" t="str">
        <f t="shared" si="121"/>
        <v>04</v>
      </c>
      <c r="AY79" t="str">
        <f t="shared" si="122"/>
        <v>02</v>
      </c>
      <c r="AZ79" t="str">
        <f t="shared" si="123"/>
        <v>00</v>
      </c>
      <c r="BA79" t="str">
        <f t="shared" si="124"/>
        <v>00</v>
      </c>
      <c r="BB79" t="str">
        <f t="shared" si="125"/>
        <v>00</v>
      </c>
      <c r="BC79" t="str">
        <f t="shared" si="126"/>
        <v>00</v>
      </c>
      <c r="BD79" t="str">
        <f t="shared" si="127"/>
        <v>00</v>
      </c>
      <c r="BE79" t="str">
        <f t="shared" si="128"/>
        <v>00</v>
      </c>
      <c r="BF79" t="str">
        <f t="shared" si="129"/>
        <v>00</v>
      </c>
      <c r="BG79" t="str">
        <f t="shared" si="130"/>
        <v>00</v>
      </c>
      <c r="BH79" t="str">
        <f t="shared" si="131"/>
        <v>00</v>
      </c>
      <c r="BI79" t="str">
        <f t="shared" si="132"/>
        <v>00</v>
      </c>
      <c r="BJ79" t="str">
        <f t="shared" si="133"/>
        <v>00</v>
      </c>
      <c r="BK79" t="str">
        <f t="shared" si="134"/>
        <v>00</v>
      </c>
      <c r="BL79" t="str">
        <f t="shared" si="135"/>
        <v>00</v>
      </c>
      <c r="BM79" t="str">
        <f t="shared" si="136"/>
        <v>00</v>
      </c>
      <c r="BN79" t="str">
        <f t="shared" si="137"/>
        <v>00</v>
      </c>
      <c r="BO79" t="str">
        <f t="shared" si="138"/>
        <v>04</v>
      </c>
      <c r="BP79" t="str">
        <f t="shared" si="139"/>
        <v>0104040200000000000000000000000000000004</v>
      </c>
      <c r="BQ79" t="str">
        <f t="shared" si="142"/>
        <v>Menu04 L04 N075</v>
      </c>
      <c r="BR79" t="str">
        <f t="shared" si="140"/>
        <v>file75</v>
      </c>
      <c r="BS79" t="str">
        <f t="shared" si="141"/>
        <v>075,00,00,00,01,04,04,02,00,00,00,00,00,00,00,00,00,00,00,00,00,00,00,04,0104040200000000000000000000000000000004,Menu04 L04 N075,file75</v>
      </c>
    </row>
    <row r="80" spans="3:71" x14ac:dyDescent="0.25">
      <c r="C80">
        <f t="shared" si="143"/>
        <v>76</v>
      </c>
      <c r="D80">
        <v>1</v>
      </c>
      <c r="E80">
        <v>4</v>
      </c>
      <c r="F80">
        <v>5</v>
      </c>
      <c r="G80">
        <v>0</v>
      </c>
      <c r="W80" t="s">
        <v>1</v>
      </c>
      <c r="X80" t="str">
        <f t="shared" si="82"/>
        <v>|</v>
      </c>
      <c r="Y80" t="str">
        <f t="shared" si="83"/>
        <v>└</v>
      </c>
      <c r="Z80" t="str">
        <f t="shared" si="84"/>
        <v>--</v>
      </c>
      <c r="AA80" t="str">
        <f t="shared" si="85"/>
        <v/>
      </c>
      <c r="AB80" t="str">
        <f t="shared" si="86"/>
        <v/>
      </c>
      <c r="AC80" t="str">
        <f t="shared" si="87"/>
        <v/>
      </c>
      <c r="AD80" t="str">
        <f t="shared" si="88"/>
        <v/>
      </c>
      <c r="AE80" t="str">
        <f t="shared" si="89"/>
        <v/>
      </c>
      <c r="AF80" t="str">
        <f t="shared" si="90"/>
        <v/>
      </c>
      <c r="AG80" t="str">
        <f t="shared" si="91"/>
        <v/>
      </c>
      <c r="AH80" t="str">
        <f t="shared" si="92"/>
        <v/>
      </c>
      <c r="AI80" t="str">
        <f t="shared" si="93"/>
        <v/>
      </c>
      <c r="AJ80" t="str">
        <f t="shared" si="94"/>
        <v/>
      </c>
      <c r="AK80" t="str">
        <f t="shared" si="95"/>
        <v/>
      </c>
      <c r="AL80" t="str">
        <f t="shared" si="96"/>
        <v/>
      </c>
      <c r="AM80" t="str">
        <f t="shared" si="97"/>
        <v/>
      </c>
      <c r="AN80" t="str">
        <f t="shared" si="98"/>
        <v/>
      </c>
      <c r="AO80" t="str">
        <f t="shared" si="99"/>
        <v/>
      </c>
      <c r="AP80" t="str">
        <f t="shared" si="100"/>
        <v/>
      </c>
      <c r="AQ80" t="s">
        <v>1</v>
      </c>
      <c r="AR80" t="str">
        <f t="shared" si="117"/>
        <v>076</v>
      </c>
      <c r="AS80" t="str">
        <f t="shared" si="118"/>
        <v>00</v>
      </c>
      <c r="AT80" t="str">
        <f t="shared" si="118"/>
        <v>00</v>
      </c>
      <c r="AU80" t="str">
        <f t="shared" si="118"/>
        <v>00</v>
      </c>
      <c r="AV80" t="str">
        <f t="shared" si="119"/>
        <v>01</v>
      </c>
      <c r="AW80" t="str">
        <f t="shared" si="120"/>
        <v>04</v>
      </c>
      <c r="AX80" t="str">
        <f t="shared" si="121"/>
        <v>05</v>
      </c>
      <c r="AY80" t="str">
        <f t="shared" si="122"/>
        <v>00</v>
      </c>
      <c r="AZ80" t="str">
        <f t="shared" si="123"/>
        <v>00</v>
      </c>
      <c r="BA80" t="str">
        <f t="shared" si="124"/>
        <v>00</v>
      </c>
      <c r="BB80" t="str">
        <f t="shared" si="125"/>
        <v>00</v>
      </c>
      <c r="BC80" t="str">
        <f t="shared" si="126"/>
        <v>00</v>
      </c>
      <c r="BD80" t="str">
        <f t="shared" si="127"/>
        <v>00</v>
      </c>
      <c r="BE80" t="str">
        <f t="shared" si="128"/>
        <v>00</v>
      </c>
      <c r="BF80" t="str">
        <f t="shared" si="129"/>
        <v>00</v>
      </c>
      <c r="BG80" t="str">
        <f t="shared" si="130"/>
        <v>00</v>
      </c>
      <c r="BH80" t="str">
        <f t="shared" si="131"/>
        <v>00</v>
      </c>
      <c r="BI80" t="str">
        <f t="shared" si="132"/>
        <v>00</v>
      </c>
      <c r="BJ80" t="str">
        <f t="shared" si="133"/>
        <v>00</v>
      </c>
      <c r="BK80" t="str">
        <f t="shared" si="134"/>
        <v>00</v>
      </c>
      <c r="BL80" t="str">
        <f t="shared" si="135"/>
        <v>00</v>
      </c>
      <c r="BM80" t="str">
        <f t="shared" si="136"/>
        <v>00</v>
      </c>
      <c r="BN80" t="str">
        <f t="shared" si="137"/>
        <v>00</v>
      </c>
      <c r="BO80" t="str">
        <f t="shared" si="138"/>
        <v>03</v>
      </c>
      <c r="BP80" t="str">
        <f t="shared" si="139"/>
        <v>0104050000000000000000000000000000000003</v>
      </c>
      <c r="BQ80" t="str">
        <f t="shared" si="142"/>
        <v>Menu04 L03 N076</v>
      </c>
      <c r="BR80" t="str">
        <f t="shared" si="140"/>
        <v>file76</v>
      </c>
      <c r="BS80" t="str">
        <f t="shared" si="141"/>
        <v>076,00,00,00,01,04,05,00,00,00,00,00,00,00,00,00,00,00,00,00,00,00,00,03,0104050000000000000000000000000000000003,Menu04 L03 N076,file76</v>
      </c>
    </row>
    <row r="81" spans="3:71" x14ac:dyDescent="0.25">
      <c r="C81">
        <f t="shared" si="143"/>
        <v>77</v>
      </c>
      <c r="D81">
        <v>1</v>
      </c>
      <c r="E81">
        <f>E79</f>
        <v>4</v>
      </c>
      <c r="F81">
        <v>5</v>
      </c>
      <c r="G81">
        <v>1</v>
      </c>
      <c r="W81" t="s">
        <v>1</v>
      </c>
      <c r="X81" t="str">
        <f t="shared" si="82"/>
        <v>|</v>
      </c>
      <c r="Y81" t="str">
        <f t="shared" si="83"/>
        <v>|</v>
      </c>
      <c r="Z81" t="str">
        <f t="shared" si="84"/>
        <v>└</v>
      </c>
      <c r="AA81" t="str">
        <f t="shared" si="85"/>
        <v>--</v>
      </c>
      <c r="AB81" t="str">
        <f t="shared" si="86"/>
        <v/>
      </c>
      <c r="AC81" t="str">
        <f t="shared" si="87"/>
        <v/>
      </c>
      <c r="AD81" t="str">
        <f t="shared" si="88"/>
        <v/>
      </c>
      <c r="AE81" t="str">
        <f t="shared" si="89"/>
        <v/>
      </c>
      <c r="AF81" t="str">
        <f t="shared" si="90"/>
        <v/>
      </c>
      <c r="AG81" t="str">
        <f t="shared" si="91"/>
        <v/>
      </c>
      <c r="AH81" t="str">
        <f t="shared" si="92"/>
        <v/>
      </c>
      <c r="AI81" t="str">
        <f t="shared" si="93"/>
        <v/>
      </c>
      <c r="AJ81" t="str">
        <f t="shared" si="94"/>
        <v/>
      </c>
      <c r="AK81" t="str">
        <f t="shared" si="95"/>
        <v/>
      </c>
      <c r="AL81" t="str">
        <f t="shared" si="96"/>
        <v/>
      </c>
      <c r="AM81" t="str">
        <f t="shared" si="97"/>
        <v/>
      </c>
      <c r="AN81" t="str">
        <f t="shared" si="98"/>
        <v/>
      </c>
      <c r="AO81" t="str">
        <f t="shared" si="99"/>
        <v/>
      </c>
      <c r="AP81" t="str">
        <f t="shared" si="100"/>
        <v/>
      </c>
      <c r="AQ81" t="s">
        <v>1</v>
      </c>
      <c r="AR81" t="str">
        <f t="shared" si="117"/>
        <v>077</v>
      </c>
      <c r="AS81" t="str">
        <f t="shared" si="118"/>
        <v>00</v>
      </c>
      <c r="AT81" t="str">
        <f t="shared" si="118"/>
        <v>00</v>
      </c>
      <c r="AU81" t="str">
        <f t="shared" si="118"/>
        <v>00</v>
      </c>
      <c r="AV81" t="str">
        <f t="shared" si="119"/>
        <v>01</v>
      </c>
      <c r="AW81" t="str">
        <f t="shared" si="120"/>
        <v>04</v>
      </c>
      <c r="AX81" t="str">
        <f t="shared" si="121"/>
        <v>05</v>
      </c>
      <c r="AY81" t="str">
        <f t="shared" si="122"/>
        <v>01</v>
      </c>
      <c r="AZ81" t="str">
        <f t="shared" si="123"/>
        <v>00</v>
      </c>
      <c r="BA81" t="str">
        <f t="shared" si="124"/>
        <v>00</v>
      </c>
      <c r="BB81" t="str">
        <f t="shared" si="125"/>
        <v>00</v>
      </c>
      <c r="BC81" t="str">
        <f t="shared" si="126"/>
        <v>00</v>
      </c>
      <c r="BD81" t="str">
        <f t="shared" si="127"/>
        <v>00</v>
      </c>
      <c r="BE81" t="str">
        <f t="shared" si="128"/>
        <v>00</v>
      </c>
      <c r="BF81" t="str">
        <f t="shared" si="129"/>
        <v>00</v>
      </c>
      <c r="BG81" t="str">
        <f t="shared" si="130"/>
        <v>00</v>
      </c>
      <c r="BH81" t="str">
        <f t="shared" si="131"/>
        <v>00</v>
      </c>
      <c r="BI81" t="str">
        <f t="shared" si="132"/>
        <v>00</v>
      </c>
      <c r="BJ81" t="str">
        <f t="shared" si="133"/>
        <v>00</v>
      </c>
      <c r="BK81" t="str">
        <f t="shared" si="134"/>
        <v>00</v>
      </c>
      <c r="BL81" t="str">
        <f t="shared" si="135"/>
        <v>00</v>
      </c>
      <c r="BM81" t="str">
        <f t="shared" si="136"/>
        <v>00</v>
      </c>
      <c r="BN81" t="str">
        <f t="shared" si="137"/>
        <v>00</v>
      </c>
      <c r="BO81" t="str">
        <f t="shared" si="138"/>
        <v>04</v>
      </c>
      <c r="BP81" t="str">
        <f t="shared" si="139"/>
        <v>0104050100000000000000000000000000000004</v>
      </c>
      <c r="BQ81" t="str">
        <f t="shared" si="142"/>
        <v>Menu04 L04 N077</v>
      </c>
      <c r="BR81" t="str">
        <f t="shared" si="140"/>
        <v>file77</v>
      </c>
      <c r="BS81" t="str">
        <f t="shared" si="141"/>
        <v>077,00,00,00,01,04,05,01,00,00,00,00,00,00,00,00,00,00,00,00,00,00,00,04,0104050100000000000000000000000000000004,Menu04 L04 N077,file77</v>
      </c>
    </row>
    <row r="82" spans="3:71" x14ac:dyDescent="0.25">
      <c r="C82">
        <f t="shared" si="143"/>
        <v>78</v>
      </c>
      <c r="D82">
        <v>1</v>
      </c>
      <c r="E82">
        <f t="shared" si="101"/>
        <v>4</v>
      </c>
      <c r="F82">
        <v>5</v>
      </c>
      <c r="G82">
        <v>2</v>
      </c>
      <c r="W82" t="s">
        <v>1</v>
      </c>
      <c r="X82" t="str">
        <f t="shared" si="82"/>
        <v>|</v>
      </c>
      <c r="Y82" t="str">
        <f t="shared" si="83"/>
        <v>|</v>
      </c>
      <c r="Z82" t="str">
        <f t="shared" si="84"/>
        <v>└</v>
      </c>
      <c r="AA82" t="str">
        <f t="shared" si="85"/>
        <v>--</v>
      </c>
      <c r="AB82" t="str">
        <f t="shared" si="86"/>
        <v/>
      </c>
      <c r="AC82" t="str">
        <f t="shared" si="87"/>
        <v/>
      </c>
      <c r="AD82" t="str">
        <f t="shared" si="88"/>
        <v/>
      </c>
      <c r="AE82" t="str">
        <f t="shared" si="89"/>
        <v/>
      </c>
      <c r="AF82" t="str">
        <f t="shared" si="90"/>
        <v/>
      </c>
      <c r="AG82" t="str">
        <f t="shared" si="91"/>
        <v/>
      </c>
      <c r="AH82" t="str">
        <f t="shared" si="92"/>
        <v/>
      </c>
      <c r="AI82" t="str">
        <f t="shared" si="93"/>
        <v/>
      </c>
      <c r="AJ82" t="str">
        <f t="shared" si="94"/>
        <v/>
      </c>
      <c r="AK82" t="str">
        <f t="shared" si="95"/>
        <v/>
      </c>
      <c r="AL82" t="str">
        <f t="shared" si="96"/>
        <v/>
      </c>
      <c r="AM82" t="str">
        <f t="shared" si="97"/>
        <v/>
      </c>
      <c r="AN82" t="str">
        <f t="shared" si="98"/>
        <v/>
      </c>
      <c r="AO82" t="str">
        <f t="shared" si="99"/>
        <v/>
      </c>
      <c r="AP82" t="str">
        <f t="shared" si="100"/>
        <v/>
      </c>
      <c r="AQ82" t="s">
        <v>1</v>
      </c>
      <c r="AR82" t="str">
        <f t="shared" si="117"/>
        <v>078</v>
      </c>
      <c r="AS82" t="str">
        <f t="shared" si="118"/>
        <v>00</v>
      </c>
      <c r="AT82" t="str">
        <f t="shared" si="118"/>
        <v>00</v>
      </c>
      <c r="AU82" t="str">
        <f t="shared" si="118"/>
        <v>00</v>
      </c>
      <c r="AV82" t="str">
        <f t="shared" si="119"/>
        <v>01</v>
      </c>
      <c r="AW82" t="str">
        <f t="shared" si="120"/>
        <v>04</v>
      </c>
      <c r="AX82" t="str">
        <f t="shared" si="121"/>
        <v>05</v>
      </c>
      <c r="AY82" t="str">
        <f t="shared" si="122"/>
        <v>02</v>
      </c>
      <c r="AZ82" t="str">
        <f t="shared" si="123"/>
        <v>00</v>
      </c>
      <c r="BA82" t="str">
        <f t="shared" si="124"/>
        <v>00</v>
      </c>
      <c r="BB82" t="str">
        <f t="shared" si="125"/>
        <v>00</v>
      </c>
      <c r="BC82" t="str">
        <f t="shared" si="126"/>
        <v>00</v>
      </c>
      <c r="BD82" t="str">
        <f t="shared" si="127"/>
        <v>00</v>
      </c>
      <c r="BE82" t="str">
        <f t="shared" si="128"/>
        <v>00</v>
      </c>
      <c r="BF82" t="str">
        <f t="shared" si="129"/>
        <v>00</v>
      </c>
      <c r="BG82" t="str">
        <f t="shared" si="130"/>
        <v>00</v>
      </c>
      <c r="BH82" t="str">
        <f t="shared" si="131"/>
        <v>00</v>
      </c>
      <c r="BI82" t="str">
        <f t="shared" si="132"/>
        <v>00</v>
      </c>
      <c r="BJ82" t="str">
        <f t="shared" si="133"/>
        <v>00</v>
      </c>
      <c r="BK82" t="str">
        <f t="shared" si="134"/>
        <v>00</v>
      </c>
      <c r="BL82" t="str">
        <f t="shared" si="135"/>
        <v>00</v>
      </c>
      <c r="BM82" t="str">
        <f t="shared" si="136"/>
        <v>00</v>
      </c>
      <c r="BN82" t="str">
        <f t="shared" si="137"/>
        <v>00</v>
      </c>
      <c r="BO82" t="str">
        <f t="shared" si="138"/>
        <v>04</v>
      </c>
      <c r="BP82" t="str">
        <f t="shared" si="139"/>
        <v>0104050200000000000000000000000000000004</v>
      </c>
      <c r="BQ82" t="str">
        <f t="shared" si="142"/>
        <v>Menu04 L04 N078</v>
      </c>
      <c r="BR82" t="str">
        <f t="shared" si="140"/>
        <v>file78</v>
      </c>
      <c r="BS82" t="str">
        <f t="shared" si="141"/>
        <v>078,00,00,00,01,04,05,02,00,00,00,00,00,00,00,00,00,00,00,00,00,00,00,04,0104050200000000000000000000000000000004,Menu04 L04 N078,file78</v>
      </c>
    </row>
    <row r="83" spans="3:71" x14ac:dyDescent="0.25">
      <c r="C83">
        <f t="shared" si="143"/>
        <v>79</v>
      </c>
      <c r="D83">
        <v>1</v>
      </c>
      <c r="E83">
        <f t="shared" si="101"/>
        <v>4</v>
      </c>
      <c r="F83">
        <v>5</v>
      </c>
      <c r="G83">
        <v>3</v>
      </c>
      <c r="W83" t="s">
        <v>1</v>
      </c>
      <c r="X83" t="str">
        <f t="shared" si="82"/>
        <v>|</v>
      </c>
      <c r="Y83" t="str">
        <f t="shared" si="83"/>
        <v>|</v>
      </c>
      <c r="Z83" t="str">
        <f t="shared" si="84"/>
        <v>└</v>
      </c>
      <c r="AA83" t="str">
        <f t="shared" si="85"/>
        <v>--</v>
      </c>
      <c r="AB83" t="str">
        <f t="shared" si="86"/>
        <v/>
      </c>
      <c r="AC83" t="str">
        <f t="shared" si="87"/>
        <v/>
      </c>
      <c r="AD83" t="str">
        <f t="shared" si="88"/>
        <v/>
      </c>
      <c r="AE83" t="str">
        <f t="shared" si="89"/>
        <v/>
      </c>
      <c r="AF83" t="str">
        <f t="shared" si="90"/>
        <v/>
      </c>
      <c r="AG83" t="str">
        <f t="shared" si="91"/>
        <v/>
      </c>
      <c r="AH83" t="str">
        <f t="shared" si="92"/>
        <v/>
      </c>
      <c r="AI83" t="str">
        <f t="shared" si="93"/>
        <v/>
      </c>
      <c r="AJ83" t="str">
        <f t="shared" si="94"/>
        <v/>
      </c>
      <c r="AK83" t="str">
        <f t="shared" si="95"/>
        <v/>
      </c>
      <c r="AL83" t="str">
        <f t="shared" si="96"/>
        <v/>
      </c>
      <c r="AM83" t="str">
        <f t="shared" si="97"/>
        <v/>
      </c>
      <c r="AN83" t="str">
        <f t="shared" si="98"/>
        <v/>
      </c>
      <c r="AO83" t="str">
        <f t="shared" si="99"/>
        <v/>
      </c>
      <c r="AP83" t="str">
        <f t="shared" si="100"/>
        <v/>
      </c>
      <c r="AQ83" t="s">
        <v>1</v>
      </c>
      <c r="AR83" t="str">
        <f t="shared" si="117"/>
        <v>079</v>
      </c>
      <c r="AS83" t="str">
        <f t="shared" si="118"/>
        <v>00</v>
      </c>
      <c r="AT83" t="str">
        <f t="shared" si="118"/>
        <v>00</v>
      </c>
      <c r="AU83" t="str">
        <f t="shared" si="118"/>
        <v>00</v>
      </c>
      <c r="AV83" t="str">
        <f t="shared" si="119"/>
        <v>01</v>
      </c>
      <c r="AW83" t="str">
        <f t="shared" si="120"/>
        <v>04</v>
      </c>
      <c r="AX83" t="str">
        <f t="shared" si="121"/>
        <v>05</v>
      </c>
      <c r="AY83" t="str">
        <f t="shared" si="122"/>
        <v>03</v>
      </c>
      <c r="AZ83" t="str">
        <f t="shared" si="123"/>
        <v>00</v>
      </c>
      <c r="BA83" t="str">
        <f t="shared" si="124"/>
        <v>00</v>
      </c>
      <c r="BB83" t="str">
        <f t="shared" si="125"/>
        <v>00</v>
      </c>
      <c r="BC83" t="str">
        <f t="shared" si="126"/>
        <v>00</v>
      </c>
      <c r="BD83" t="str">
        <f t="shared" si="127"/>
        <v>00</v>
      </c>
      <c r="BE83" t="str">
        <f t="shared" si="128"/>
        <v>00</v>
      </c>
      <c r="BF83" t="str">
        <f t="shared" si="129"/>
        <v>00</v>
      </c>
      <c r="BG83" t="str">
        <f t="shared" si="130"/>
        <v>00</v>
      </c>
      <c r="BH83" t="str">
        <f t="shared" si="131"/>
        <v>00</v>
      </c>
      <c r="BI83" t="str">
        <f t="shared" si="132"/>
        <v>00</v>
      </c>
      <c r="BJ83" t="str">
        <f t="shared" si="133"/>
        <v>00</v>
      </c>
      <c r="BK83" t="str">
        <f t="shared" si="134"/>
        <v>00</v>
      </c>
      <c r="BL83" t="str">
        <f t="shared" si="135"/>
        <v>00</v>
      </c>
      <c r="BM83" t="str">
        <f t="shared" si="136"/>
        <v>00</v>
      </c>
      <c r="BN83" t="str">
        <f t="shared" si="137"/>
        <v>00</v>
      </c>
      <c r="BO83" t="str">
        <f t="shared" si="138"/>
        <v>04</v>
      </c>
      <c r="BP83" t="str">
        <f t="shared" si="139"/>
        <v>0104050300000000000000000000000000000004</v>
      </c>
      <c r="BQ83" t="str">
        <f t="shared" si="142"/>
        <v>Menu04 L04 N079</v>
      </c>
      <c r="BR83" t="str">
        <f t="shared" si="140"/>
        <v>file79</v>
      </c>
      <c r="BS83" t="str">
        <f t="shared" si="141"/>
        <v>079,00,00,00,01,04,05,03,00,00,00,00,00,00,00,00,00,00,00,00,00,00,00,04,0104050300000000000000000000000000000004,Menu04 L04 N079,file79</v>
      </c>
    </row>
    <row r="84" spans="3:71" x14ac:dyDescent="0.25">
      <c r="C84">
        <f t="shared" si="143"/>
        <v>80</v>
      </c>
      <c r="D84">
        <v>1</v>
      </c>
      <c r="E84">
        <f t="shared" si="101"/>
        <v>4</v>
      </c>
      <c r="F84">
        <v>6</v>
      </c>
      <c r="W84" t="s">
        <v>1</v>
      </c>
      <c r="X84" t="str">
        <f t="shared" si="82"/>
        <v>|</v>
      </c>
      <c r="Y84" t="str">
        <f t="shared" si="83"/>
        <v>└</v>
      </c>
      <c r="Z84" t="str">
        <f t="shared" si="84"/>
        <v>--</v>
      </c>
      <c r="AA84" t="str">
        <f t="shared" si="85"/>
        <v/>
      </c>
      <c r="AB84" t="str">
        <f t="shared" si="86"/>
        <v/>
      </c>
      <c r="AC84" t="str">
        <f t="shared" si="87"/>
        <v/>
      </c>
      <c r="AD84" t="str">
        <f t="shared" si="88"/>
        <v/>
      </c>
      <c r="AE84" t="str">
        <f t="shared" si="89"/>
        <v/>
      </c>
      <c r="AF84" t="str">
        <f t="shared" si="90"/>
        <v/>
      </c>
      <c r="AG84" t="str">
        <f t="shared" si="91"/>
        <v/>
      </c>
      <c r="AH84" t="str">
        <f t="shared" si="92"/>
        <v/>
      </c>
      <c r="AI84" t="str">
        <f t="shared" si="93"/>
        <v/>
      </c>
      <c r="AJ84" t="str">
        <f t="shared" si="94"/>
        <v/>
      </c>
      <c r="AK84" t="str">
        <f t="shared" si="95"/>
        <v/>
      </c>
      <c r="AL84" t="str">
        <f t="shared" si="96"/>
        <v/>
      </c>
      <c r="AM84" t="str">
        <f t="shared" si="97"/>
        <v/>
      </c>
      <c r="AN84" t="str">
        <f t="shared" si="98"/>
        <v/>
      </c>
      <c r="AO84" t="str">
        <f t="shared" si="99"/>
        <v/>
      </c>
      <c r="AP84" t="str">
        <f t="shared" si="100"/>
        <v/>
      </c>
      <c r="AQ84" t="s">
        <v>1</v>
      </c>
      <c r="AR84" t="str">
        <f t="shared" si="117"/>
        <v>080</v>
      </c>
      <c r="AS84" t="str">
        <f t="shared" si="118"/>
        <v>00</v>
      </c>
      <c r="AT84" t="str">
        <f t="shared" si="118"/>
        <v>00</v>
      </c>
      <c r="AU84" t="str">
        <f t="shared" si="118"/>
        <v>00</v>
      </c>
      <c r="AV84" t="str">
        <f t="shared" si="119"/>
        <v>01</v>
      </c>
      <c r="AW84" t="str">
        <f t="shared" si="120"/>
        <v>04</v>
      </c>
      <c r="AX84" t="str">
        <f t="shared" si="121"/>
        <v>06</v>
      </c>
      <c r="AY84" t="str">
        <f t="shared" si="122"/>
        <v>00</v>
      </c>
      <c r="AZ84" t="str">
        <f t="shared" si="123"/>
        <v>00</v>
      </c>
      <c r="BA84" t="str">
        <f t="shared" si="124"/>
        <v>00</v>
      </c>
      <c r="BB84" t="str">
        <f t="shared" si="125"/>
        <v>00</v>
      </c>
      <c r="BC84" t="str">
        <f t="shared" si="126"/>
        <v>00</v>
      </c>
      <c r="BD84" t="str">
        <f t="shared" si="127"/>
        <v>00</v>
      </c>
      <c r="BE84" t="str">
        <f t="shared" si="128"/>
        <v>00</v>
      </c>
      <c r="BF84" t="str">
        <f t="shared" si="129"/>
        <v>00</v>
      </c>
      <c r="BG84" t="str">
        <f t="shared" si="130"/>
        <v>00</v>
      </c>
      <c r="BH84" t="str">
        <f t="shared" si="131"/>
        <v>00</v>
      </c>
      <c r="BI84" t="str">
        <f t="shared" si="132"/>
        <v>00</v>
      </c>
      <c r="BJ84" t="str">
        <f t="shared" si="133"/>
        <v>00</v>
      </c>
      <c r="BK84" t="str">
        <f t="shared" si="134"/>
        <v>00</v>
      </c>
      <c r="BL84" t="str">
        <f t="shared" si="135"/>
        <v>00</v>
      </c>
      <c r="BM84" t="str">
        <f t="shared" si="136"/>
        <v>00</v>
      </c>
      <c r="BN84" t="str">
        <f t="shared" si="137"/>
        <v>00</v>
      </c>
      <c r="BO84" t="str">
        <f t="shared" si="138"/>
        <v>03</v>
      </c>
      <c r="BP84" t="str">
        <f t="shared" si="139"/>
        <v>0104060000000000000000000000000000000003</v>
      </c>
      <c r="BQ84" t="str">
        <f t="shared" si="142"/>
        <v>Menu04 L03 N080</v>
      </c>
      <c r="BR84" t="str">
        <f t="shared" si="140"/>
        <v>file80</v>
      </c>
      <c r="BS84" t="str">
        <f t="shared" si="141"/>
        <v>080,00,00,00,01,04,06,00,00,00,00,00,00,00,00,00,00,00,00,00,00,00,00,03,0104060000000000000000000000000000000003,Menu04 L03 N080,file80</v>
      </c>
    </row>
    <row r="85" spans="3:71" x14ac:dyDescent="0.25">
      <c r="C85">
        <f t="shared" si="143"/>
        <v>81</v>
      </c>
      <c r="D85">
        <v>1</v>
      </c>
      <c r="E85">
        <v>5</v>
      </c>
      <c r="F85">
        <v>0</v>
      </c>
      <c r="W85" t="s">
        <v>1</v>
      </c>
      <c r="X85" t="str">
        <f t="shared" si="82"/>
        <v>└</v>
      </c>
      <c r="Y85" t="str">
        <f t="shared" si="83"/>
        <v>--</v>
      </c>
      <c r="Z85" t="str">
        <f t="shared" si="84"/>
        <v/>
      </c>
      <c r="AA85" t="str">
        <f t="shared" si="85"/>
        <v/>
      </c>
      <c r="AB85" t="str">
        <f t="shared" si="86"/>
        <v/>
      </c>
      <c r="AC85" t="str">
        <f t="shared" si="87"/>
        <v/>
      </c>
      <c r="AD85" t="str">
        <f t="shared" si="88"/>
        <v/>
      </c>
      <c r="AE85" t="str">
        <f t="shared" si="89"/>
        <v/>
      </c>
      <c r="AF85" t="str">
        <f t="shared" si="90"/>
        <v/>
      </c>
      <c r="AG85" t="str">
        <f t="shared" si="91"/>
        <v/>
      </c>
      <c r="AH85" t="str">
        <f t="shared" si="92"/>
        <v/>
      </c>
      <c r="AI85" t="str">
        <f t="shared" si="93"/>
        <v/>
      </c>
      <c r="AJ85" t="str">
        <f t="shared" si="94"/>
        <v/>
      </c>
      <c r="AK85" t="str">
        <f t="shared" si="95"/>
        <v/>
      </c>
      <c r="AL85" t="str">
        <f t="shared" si="96"/>
        <v/>
      </c>
      <c r="AM85" t="str">
        <f t="shared" si="97"/>
        <v/>
      </c>
      <c r="AN85" t="str">
        <f t="shared" si="98"/>
        <v/>
      </c>
      <c r="AO85" t="str">
        <f t="shared" si="99"/>
        <v/>
      </c>
      <c r="AP85" t="str">
        <f t="shared" si="100"/>
        <v/>
      </c>
      <c r="AQ85" t="s">
        <v>1</v>
      </c>
      <c r="AR85" t="str">
        <f t="shared" si="117"/>
        <v>081</v>
      </c>
      <c r="AS85" t="str">
        <f t="shared" si="118"/>
        <v>00</v>
      </c>
      <c r="AT85" t="str">
        <f t="shared" si="118"/>
        <v>00</v>
      </c>
      <c r="AU85" t="str">
        <f t="shared" si="118"/>
        <v>00</v>
      </c>
      <c r="AV85" t="str">
        <f t="shared" si="119"/>
        <v>01</v>
      </c>
      <c r="AW85" t="str">
        <f t="shared" si="120"/>
        <v>05</v>
      </c>
      <c r="AX85" t="str">
        <f t="shared" si="121"/>
        <v>00</v>
      </c>
      <c r="AY85" t="str">
        <f t="shared" si="122"/>
        <v>00</v>
      </c>
      <c r="AZ85" t="str">
        <f t="shared" si="123"/>
        <v>00</v>
      </c>
      <c r="BA85" t="str">
        <f t="shared" si="124"/>
        <v>00</v>
      </c>
      <c r="BB85" t="str">
        <f t="shared" si="125"/>
        <v>00</v>
      </c>
      <c r="BC85" t="str">
        <f t="shared" si="126"/>
        <v>00</v>
      </c>
      <c r="BD85" t="str">
        <f t="shared" si="127"/>
        <v>00</v>
      </c>
      <c r="BE85" t="str">
        <f t="shared" si="128"/>
        <v>00</v>
      </c>
      <c r="BF85" t="str">
        <f t="shared" si="129"/>
        <v>00</v>
      </c>
      <c r="BG85" t="str">
        <f t="shared" si="130"/>
        <v>00</v>
      </c>
      <c r="BH85" t="str">
        <f t="shared" si="131"/>
        <v>00</v>
      </c>
      <c r="BI85" t="str">
        <f t="shared" si="132"/>
        <v>00</v>
      </c>
      <c r="BJ85" t="str">
        <f t="shared" si="133"/>
        <v>00</v>
      </c>
      <c r="BK85" t="str">
        <f t="shared" si="134"/>
        <v>00</v>
      </c>
      <c r="BL85" t="str">
        <f t="shared" si="135"/>
        <v>00</v>
      </c>
      <c r="BM85" t="str">
        <f t="shared" si="136"/>
        <v>00</v>
      </c>
      <c r="BN85" t="str">
        <f t="shared" si="137"/>
        <v>00</v>
      </c>
      <c r="BO85" t="str">
        <f t="shared" si="138"/>
        <v>02</v>
      </c>
      <c r="BP85" t="str">
        <f t="shared" si="139"/>
        <v>0105000000000000000000000000000000000002</v>
      </c>
      <c r="BQ85" t="str">
        <f t="shared" si="142"/>
        <v>Menu05 L02 N081</v>
      </c>
      <c r="BR85" t="str">
        <f t="shared" si="140"/>
        <v>file81</v>
      </c>
      <c r="BS85" t="str">
        <f t="shared" si="141"/>
        <v>081,00,00,00,01,05,00,00,00,00,00,00,00,00,00,00,00,00,00,00,00,00,00,02,0105000000000000000000000000000000000002,Menu05 L02 N081,file81</v>
      </c>
    </row>
    <row r="86" spans="3:71" x14ac:dyDescent="0.25">
      <c r="C86">
        <f t="shared" si="143"/>
        <v>82</v>
      </c>
      <c r="D86">
        <v>1</v>
      </c>
      <c r="E86">
        <v>5</v>
      </c>
      <c r="F86">
        <v>1</v>
      </c>
      <c r="G86">
        <v>0</v>
      </c>
      <c r="W86" t="s">
        <v>1</v>
      </c>
      <c r="X86" t="str">
        <f t="shared" ref="X86:X110" si="144">IF(D86=0,"",IF(D86&lt;&gt;D85,"--",IF(F86=0,"└","|")))</f>
        <v>|</v>
      </c>
      <c r="Y86" t="str">
        <f t="shared" ref="Y86:Y110" si="145">IF(E86=0,"",IF(E86&lt;&gt;E85,"--",IF(G86=0,"└","|")))</f>
        <v>└</v>
      </c>
      <c r="Z86" t="str">
        <f t="shared" ref="Z86:Z110" si="146">IF(F86=0,"",IF(F86&lt;&gt;F85,"--",IF(H86=0,"└","|")))</f>
        <v>--</v>
      </c>
      <c r="AA86" t="str">
        <f t="shared" ref="AA86:AA110" si="147">IF(G86=0,"",IF(G86&lt;&gt;G85,"--",IF(I86=0,"└","|")))</f>
        <v/>
      </c>
      <c r="AB86" t="str">
        <f t="shared" ref="AB86:AB110" si="148">IF(H86=0,"",IF(H86&lt;&gt;H85,"--",IF(J86=0,"└","|")))</f>
        <v/>
      </c>
      <c r="AC86" t="str">
        <f t="shared" ref="AC86:AC110" si="149">IF(I86=0,"",IF(I86&lt;&gt;I85,"--",IF(K86=0,"└","|")))</f>
        <v/>
      </c>
      <c r="AD86" t="str">
        <f t="shared" ref="AD86:AD110" si="150">IF(J86=0,"",IF(J86&lt;&gt;J85,"--",IF(L86=0,"└","|")))</f>
        <v/>
      </c>
      <c r="AE86" t="str">
        <f t="shared" ref="AE86:AE110" si="151">IF(K86=0,"",IF(K86&lt;&gt;K85,"--",IF(M86=0,"└","|")))</f>
        <v/>
      </c>
      <c r="AF86" t="str">
        <f t="shared" ref="AF86:AF110" si="152">IF(L86=0,"",IF(L86&lt;&gt;L85,"--",IF(N86=0,"└","|")))</f>
        <v/>
      </c>
      <c r="AG86" t="str">
        <f t="shared" ref="AG86:AG110" si="153">IF(M86=0,"",IF(M86&lt;&gt;M85,"--",IF(O86=0,"└","|")))</f>
        <v/>
      </c>
      <c r="AH86" t="str">
        <f t="shared" ref="AH86:AH110" si="154">IF(N86=0,"",IF(N86&lt;&gt;N85,"--",IF(P86=0,"└","|")))</f>
        <v/>
      </c>
      <c r="AI86" t="str">
        <f t="shared" ref="AI86:AI110" si="155">IF(O86=0,"",IF(O86&lt;&gt;O85,"--",IF(Q86=0,"└","|")))</f>
        <v/>
      </c>
      <c r="AJ86" t="str">
        <f t="shared" ref="AJ86:AJ110" si="156">IF(P86=0,"",IF(P86&lt;&gt;P85,"--",IF(R86=0,"└","|")))</f>
        <v/>
      </c>
      <c r="AK86" t="str">
        <f t="shared" ref="AK86:AK110" si="157">IF(Q86=0,"",IF(Q86&lt;&gt;Q85,"--",IF(S86=0,"└","|")))</f>
        <v/>
      </c>
      <c r="AL86" t="str">
        <f t="shared" ref="AL86:AL110" si="158">IF(R86=0,"",IF(R86&lt;&gt;R85,"--",IF(T86=0,"└","|")))</f>
        <v/>
      </c>
      <c r="AM86" t="str">
        <f t="shared" ref="AM86:AM110" si="159">IF(S86=0,"",IF(S86&lt;&gt;S85,"--",IF(U86=0,"└","|")))</f>
        <v/>
      </c>
      <c r="AN86" t="str">
        <f t="shared" ref="AN86:AN110" si="160">IF(T86=0,"",IF(T86&lt;&gt;T85,"--",IF(V86=0,"└","|")))</f>
        <v/>
      </c>
      <c r="AO86" t="str">
        <f t="shared" ref="AO86:AO110" si="161">IF(U86=0,"",IF(U86&lt;&gt;U85,"--",IF(W86=0,"└","|")))</f>
        <v/>
      </c>
      <c r="AP86" t="str">
        <f t="shared" ref="AP86:AP110" si="162">IF(V86=0,"",IF(V86&lt;&gt;V85,"--",IF(X86=0,"└","|")))</f>
        <v/>
      </c>
      <c r="AQ86" t="s">
        <v>1</v>
      </c>
      <c r="AR86" t="str">
        <f t="shared" si="117"/>
        <v>082</v>
      </c>
      <c r="AS86" t="str">
        <f t="shared" si="118"/>
        <v>00</v>
      </c>
      <c r="AT86" t="str">
        <f t="shared" si="118"/>
        <v>00</v>
      </c>
      <c r="AU86" t="str">
        <f t="shared" si="118"/>
        <v>00</v>
      </c>
      <c r="AV86" t="str">
        <f t="shared" si="119"/>
        <v>01</v>
      </c>
      <c r="AW86" t="str">
        <f t="shared" si="120"/>
        <v>05</v>
      </c>
      <c r="AX86" t="str">
        <f t="shared" si="121"/>
        <v>01</v>
      </c>
      <c r="AY86" t="str">
        <f t="shared" si="122"/>
        <v>00</v>
      </c>
      <c r="AZ86" t="str">
        <f t="shared" si="123"/>
        <v>00</v>
      </c>
      <c r="BA86" t="str">
        <f t="shared" si="124"/>
        <v>00</v>
      </c>
      <c r="BB86" t="str">
        <f t="shared" si="125"/>
        <v>00</v>
      </c>
      <c r="BC86" t="str">
        <f t="shared" si="126"/>
        <v>00</v>
      </c>
      <c r="BD86" t="str">
        <f t="shared" si="127"/>
        <v>00</v>
      </c>
      <c r="BE86" t="str">
        <f t="shared" si="128"/>
        <v>00</v>
      </c>
      <c r="BF86" t="str">
        <f t="shared" si="129"/>
        <v>00</v>
      </c>
      <c r="BG86" t="str">
        <f t="shared" si="130"/>
        <v>00</v>
      </c>
      <c r="BH86" t="str">
        <f t="shared" si="131"/>
        <v>00</v>
      </c>
      <c r="BI86" t="str">
        <f t="shared" si="132"/>
        <v>00</v>
      </c>
      <c r="BJ86" t="str">
        <f t="shared" si="133"/>
        <v>00</v>
      </c>
      <c r="BK86" t="str">
        <f t="shared" si="134"/>
        <v>00</v>
      </c>
      <c r="BL86" t="str">
        <f t="shared" si="135"/>
        <v>00</v>
      </c>
      <c r="BM86" t="str">
        <f t="shared" si="136"/>
        <v>00</v>
      </c>
      <c r="BN86" t="str">
        <f t="shared" si="137"/>
        <v>00</v>
      </c>
      <c r="BO86" t="str">
        <f t="shared" si="138"/>
        <v>03</v>
      </c>
      <c r="BP86" t="str">
        <f t="shared" si="139"/>
        <v>0105010000000000000000000000000000000003</v>
      </c>
      <c r="BQ86" t="str">
        <f t="shared" si="142"/>
        <v>Menu05 L03 N082</v>
      </c>
      <c r="BR86" t="str">
        <f t="shared" si="140"/>
        <v>file82</v>
      </c>
      <c r="BS86" t="str">
        <f t="shared" si="141"/>
        <v>082,00,00,00,01,05,01,00,00,00,00,00,00,00,00,00,00,00,00,00,00,00,00,03,0105010000000000000000000000000000000003,Menu05 L03 N082,file82</v>
      </c>
    </row>
    <row r="87" spans="3:71" x14ac:dyDescent="0.25">
      <c r="C87">
        <f t="shared" si="143"/>
        <v>83</v>
      </c>
      <c r="D87">
        <v>1</v>
      </c>
      <c r="E87">
        <v>5</v>
      </c>
      <c r="F87">
        <v>1</v>
      </c>
      <c r="G87">
        <v>1</v>
      </c>
      <c r="W87" t="s">
        <v>1</v>
      </c>
      <c r="X87" t="str">
        <f t="shared" si="144"/>
        <v>|</v>
      </c>
      <c r="Y87" t="str">
        <f t="shared" si="145"/>
        <v>|</v>
      </c>
      <c r="Z87" t="str">
        <f t="shared" si="146"/>
        <v>└</v>
      </c>
      <c r="AA87" t="str">
        <f t="shared" si="147"/>
        <v>--</v>
      </c>
      <c r="AB87" t="str">
        <f t="shared" si="148"/>
        <v/>
      </c>
      <c r="AC87" t="str">
        <f t="shared" si="149"/>
        <v/>
      </c>
      <c r="AD87" t="str">
        <f t="shared" si="150"/>
        <v/>
      </c>
      <c r="AE87" t="str">
        <f t="shared" si="151"/>
        <v/>
      </c>
      <c r="AF87" t="str">
        <f t="shared" si="152"/>
        <v/>
      </c>
      <c r="AG87" t="str">
        <f t="shared" si="153"/>
        <v/>
      </c>
      <c r="AH87" t="str">
        <f t="shared" si="154"/>
        <v/>
      </c>
      <c r="AI87" t="str">
        <f t="shared" si="155"/>
        <v/>
      </c>
      <c r="AJ87" t="str">
        <f t="shared" si="156"/>
        <v/>
      </c>
      <c r="AK87" t="str">
        <f t="shared" si="157"/>
        <v/>
      </c>
      <c r="AL87" t="str">
        <f t="shared" si="158"/>
        <v/>
      </c>
      <c r="AM87" t="str">
        <f t="shared" si="159"/>
        <v/>
      </c>
      <c r="AN87" t="str">
        <f t="shared" si="160"/>
        <v/>
      </c>
      <c r="AO87" t="str">
        <f t="shared" si="161"/>
        <v/>
      </c>
      <c r="AP87" t="str">
        <f t="shared" si="162"/>
        <v/>
      </c>
      <c r="AQ87" t="s">
        <v>1</v>
      </c>
      <c r="AR87" t="str">
        <f t="shared" si="117"/>
        <v>083</v>
      </c>
      <c r="AS87" t="str">
        <f t="shared" si="118"/>
        <v>00</v>
      </c>
      <c r="AT87" t="str">
        <f t="shared" si="118"/>
        <v>00</v>
      </c>
      <c r="AU87" t="str">
        <f t="shared" si="118"/>
        <v>00</v>
      </c>
      <c r="AV87" t="str">
        <f t="shared" si="119"/>
        <v>01</v>
      </c>
      <c r="AW87" t="str">
        <f t="shared" si="120"/>
        <v>05</v>
      </c>
      <c r="AX87" t="str">
        <f t="shared" si="121"/>
        <v>01</v>
      </c>
      <c r="AY87" t="str">
        <f t="shared" si="122"/>
        <v>01</v>
      </c>
      <c r="AZ87" t="str">
        <f t="shared" si="123"/>
        <v>00</v>
      </c>
      <c r="BA87" t="str">
        <f t="shared" si="124"/>
        <v>00</v>
      </c>
      <c r="BB87" t="str">
        <f t="shared" si="125"/>
        <v>00</v>
      </c>
      <c r="BC87" t="str">
        <f t="shared" si="126"/>
        <v>00</v>
      </c>
      <c r="BD87" t="str">
        <f t="shared" si="127"/>
        <v>00</v>
      </c>
      <c r="BE87" t="str">
        <f t="shared" si="128"/>
        <v>00</v>
      </c>
      <c r="BF87" t="str">
        <f t="shared" si="129"/>
        <v>00</v>
      </c>
      <c r="BG87" t="str">
        <f t="shared" si="130"/>
        <v>00</v>
      </c>
      <c r="BH87" t="str">
        <f t="shared" si="131"/>
        <v>00</v>
      </c>
      <c r="BI87" t="str">
        <f t="shared" si="132"/>
        <v>00</v>
      </c>
      <c r="BJ87" t="str">
        <f t="shared" si="133"/>
        <v>00</v>
      </c>
      <c r="BK87" t="str">
        <f t="shared" si="134"/>
        <v>00</v>
      </c>
      <c r="BL87" t="str">
        <f t="shared" si="135"/>
        <v>00</v>
      </c>
      <c r="BM87" t="str">
        <f t="shared" si="136"/>
        <v>00</v>
      </c>
      <c r="BN87" t="str">
        <f t="shared" si="137"/>
        <v>00</v>
      </c>
      <c r="BO87" t="str">
        <f t="shared" si="138"/>
        <v>04</v>
      </c>
      <c r="BP87" t="str">
        <f t="shared" si="139"/>
        <v>0105010100000000000000000000000000000004</v>
      </c>
      <c r="BQ87" t="str">
        <f t="shared" si="142"/>
        <v>Menu05 L04 N083</v>
      </c>
      <c r="BR87" t="str">
        <f t="shared" si="140"/>
        <v>file83</v>
      </c>
      <c r="BS87" t="str">
        <f t="shared" si="141"/>
        <v>083,00,00,00,01,05,01,01,00,00,00,00,00,00,00,00,00,00,00,00,00,00,00,04,0105010100000000000000000000000000000004,Menu05 L04 N083,file83</v>
      </c>
    </row>
    <row r="88" spans="3:71" x14ac:dyDescent="0.25">
      <c r="C88">
        <f t="shared" si="143"/>
        <v>84</v>
      </c>
      <c r="D88">
        <v>1</v>
      </c>
      <c r="E88">
        <f>E87</f>
        <v>5</v>
      </c>
      <c r="F88">
        <v>1</v>
      </c>
      <c r="G88">
        <v>2</v>
      </c>
      <c r="W88" t="s">
        <v>1</v>
      </c>
      <c r="X88" t="str">
        <f t="shared" si="144"/>
        <v>|</v>
      </c>
      <c r="Y88" t="str">
        <f t="shared" si="145"/>
        <v>|</v>
      </c>
      <c r="Z88" t="str">
        <f t="shared" si="146"/>
        <v>└</v>
      </c>
      <c r="AA88" t="str">
        <f t="shared" si="147"/>
        <v>--</v>
      </c>
      <c r="AB88" t="str">
        <f t="shared" si="148"/>
        <v/>
      </c>
      <c r="AC88" t="str">
        <f t="shared" si="149"/>
        <v/>
      </c>
      <c r="AD88" t="str">
        <f t="shared" si="150"/>
        <v/>
      </c>
      <c r="AE88" t="str">
        <f t="shared" si="151"/>
        <v/>
      </c>
      <c r="AF88" t="str">
        <f t="shared" si="152"/>
        <v/>
      </c>
      <c r="AG88" t="str">
        <f t="shared" si="153"/>
        <v/>
      </c>
      <c r="AH88" t="str">
        <f t="shared" si="154"/>
        <v/>
      </c>
      <c r="AI88" t="str">
        <f t="shared" si="155"/>
        <v/>
      </c>
      <c r="AJ88" t="str">
        <f t="shared" si="156"/>
        <v/>
      </c>
      <c r="AK88" t="str">
        <f t="shared" si="157"/>
        <v/>
      </c>
      <c r="AL88" t="str">
        <f t="shared" si="158"/>
        <v/>
      </c>
      <c r="AM88" t="str">
        <f t="shared" si="159"/>
        <v/>
      </c>
      <c r="AN88" t="str">
        <f t="shared" si="160"/>
        <v/>
      </c>
      <c r="AO88" t="str">
        <f t="shared" si="161"/>
        <v/>
      </c>
      <c r="AP88" t="str">
        <f t="shared" si="162"/>
        <v/>
      </c>
      <c r="AQ88" t="s">
        <v>1</v>
      </c>
      <c r="AR88" t="str">
        <f t="shared" si="117"/>
        <v>084</v>
      </c>
      <c r="AS88" t="str">
        <f t="shared" si="118"/>
        <v>00</v>
      </c>
      <c r="AT88" t="str">
        <f t="shared" si="118"/>
        <v>00</v>
      </c>
      <c r="AU88" t="str">
        <f t="shared" si="118"/>
        <v>00</v>
      </c>
      <c r="AV88" t="str">
        <f t="shared" si="119"/>
        <v>01</v>
      </c>
      <c r="AW88" t="str">
        <f t="shared" si="120"/>
        <v>05</v>
      </c>
      <c r="AX88" t="str">
        <f t="shared" si="121"/>
        <v>01</v>
      </c>
      <c r="AY88" t="str">
        <f t="shared" si="122"/>
        <v>02</v>
      </c>
      <c r="AZ88" t="str">
        <f t="shared" si="123"/>
        <v>00</v>
      </c>
      <c r="BA88" t="str">
        <f t="shared" si="124"/>
        <v>00</v>
      </c>
      <c r="BB88" t="str">
        <f t="shared" si="125"/>
        <v>00</v>
      </c>
      <c r="BC88" t="str">
        <f t="shared" si="126"/>
        <v>00</v>
      </c>
      <c r="BD88" t="str">
        <f t="shared" si="127"/>
        <v>00</v>
      </c>
      <c r="BE88" t="str">
        <f t="shared" si="128"/>
        <v>00</v>
      </c>
      <c r="BF88" t="str">
        <f t="shared" si="129"/>
        <v>00</v>
      </c>
      <c r="BG88" t="str">
        <f t="shared" si="130"/>
        <v>00</v>
      </c>
      <c r="BH88" t="str">
        <f t="shared" si="131"/>
        <v>00</v>
      </c>
      <c r="BI88" t="str">
        <f t="shared" si="132"/>
        <v>00</v>
      </c>
      <c r="BJ88" t="str">
        <f t="shared" si="133"/>
        <v>00</v>
      </c>
      <c r="BK88" t="str">
        <f t="shared" si="134"/>
        <v>00</v>
      </c>
      <c r="BL88" t="str">
        <f t="shared" si="135"/>
        <v>00</v>
      </c>
      <c r="BM88" t="str">
        <f t="shared" si="136"/>
        <v>00</v>
      </c>
      <c r="BN88" t="str">
        <f t="shared" si="137"/>
        <v>00</v>
      </c>
      <c r="BO88" t="str">
        <f t="shared" si="138"/>
        <v>04</v>
      </c>
      <c r="BP88" t="str">
        <f t="shared" si="139"/>
        <v>0105010200000000000000000000000000000004</v>
      </c>
      <c r="BQ88" t="str">
        <f t="shared" si="142"/>
        <v>Menu05 L04 N084</v>
      </c>
      <c r="BR88" t="str">
        <f t="shared" si="140"/>
        <v>file84</v>
      </c>
      <c r="BS88" t="str">
        <f t="shared" si="141"/>
        <v>084,00,00,00,01,05,01,02,00,00,00,00,00,00,00,00,00,00,00,00,00,00,00,04,0105010200000000000000000000000000000004,Menu05 L04 N084,file84</v>
      </c>
    </row>
    <row r="89" spans="3:71" x14ac:dyDescent="0.25">
      <c r="C89">
        <f t="shared" si="143"/>
        <v>85</v>
      </c>
      <c r="D89">
        <v>1</v>
      </c>
      <c r="E89">
        <v>5</v>
      </c>
      <c r="F89">
        <v>2</v>
      </c>
      <c r="G89">
        <v>0</v>
      </c>
      <c r="W89" t="s">
        <v>1</v>
      </c>
      <c r="X89" t="str">
        <f t="shared" si="144"/>
        <v>|</v>
      </c>
      <c r="Y89" t="str">
        <f t="shared" si="145"/>
        <v>└</v>
      </c>
      <c r="Z89" t="str">
        <f t="shared" si="146"/>
        <v>--</v>
      </c>
      <c r="AA89" t="str">
        <f t="shared" si="147"/>
        <v/>
      </c>
      <c r="AB89" t="str">
        <f t="shared" si="148"/>
        <v/>
      </c>
      <c r="AC89" t="str">
        <f t="shared" si="149"/>
        <v/>
      </c>
      <c r="AD89" t="str">
        <f t="shared" si="150"/>
        <v/>
      </c>
      <c r="AE89" t="str">
        <f t="shared" si="151"/>
        <v/>
      </c>
      <c r="AF89" t="str">
        <f t="shared" si="152"/>
        <v/>
      </c>
      <c r="AG89" t="str">
        <f t="shared" si="153"/>
        <v/>
      </c>
      <c r="AH89" t="str">
        <f t="shared" si="154"/>
        <v/>
      </c>
      <c r="AI89" t="str">
        <f t="shared" si="155"/>
        <v/>
      </c>
      <c r="AJ89" t="str">
        <f t="shared" si="156"/>
        <v/>
      </c>
      <c r="AK89" t="str">
        <f t="shared" si="157"/>
        <v/>
      </c>
      <c r="AL89" t="str">
        <f t="shared" si="158"/>
        <v/>
      </c>
      <c r="AM89" t="str">
        <f t="shared" si="159"/>
        <v/>
      </c>
      <c r="AN89" t="str">
        <f t="shared" si="160"/>
        <v/>
      </c>
      <c r="AO89" t="str">
        <f t="shared" si="161"/>
        <v/>
      </c>
      <c r="AP89" t="str">
        <f t="shared" si="162"/>
        <v/>
      </c>
      <c r="AQ89" t="s">
        <v>1</v>
      </c>
      <c r="AR89" t="str">
        <f t="shared" si="117"/>
        <v>085</v>
      </c>
      <c r="AS89" t="str">
        <f t="shared" si="118"/>
        <v>00</v>
      </c>
      <c r="AT89" t="str">
        <f t="shared" si="118"/>
        <v>00</v>
      </c>
      <c r="AU89" t="str">
        <f t="shared" si="118"/>
        <v>00</v>
      </c>
      <c r="AV89" t="str">
        <f t="shared" si="119"/>
        <v>01</v>
      </c>
      <c r="AW89" t="str">
        <f t="shared" si="120"/>
        <v>05</v>
      </c>
      <c r="AX89" t="str">
        <f t="shared" si="121"/>
        <v>02</v>
      </c>
      <c r="AY89" t="str">
        <f t="shared" si="122"/>
        <v>00</v>
      </c>
      <c r="AZ89" t="str">
        <f t="shared" si="123"/>
        <v>00</v>
      </c>
      <c r="BA89" t="str">
        <f t="shared" si="124"/>
        <v>00</v>
      </c>
      <c r="BB89" t="str">
        <f t="shared" si="125"/>
        <v>00</v>
      </c>
      <c r="BC89" t="str">
        <f t="shared" si="126"/>
        <v>00</v>
      </c>
      <c r="BD89" t="str">
        <f t="shared" si="127"/>
        <v>00</v>
      </c>
      <c r="BE89" t="str">
        <f t="shared" si="128"/>
        <v>00</v>
      </c>
      <c r="BF89" t="str">
        <f t="shared" si="129"/>
        <v>00</v>
      </c>
      <c r="BG89" t="str">
        <f t="shared" si="130"/>
        <v>00</v>
      </c>
      <c r="BH89" t="str">
        <f t="shared" si="131"/>
        <v>00</v>
      </c>
      <c r="BI89" t="str">
        <f t="shared" si="132"/>
        <v>00</v>
      </c>
      <c r="BJ89" t="str">
        <f t="shared" si="133"/>
        <v>00</v>
      </c>
      <c r="BK89" t="str">
        <f t="shared" si="134"/>
        <v>00</v>
      </c>
      <c r="BL89" t="str">
        <f t="shared" si="135"/>
        <v>00</v>
      </c>
      <c r="BM89" t="str">
        <f t="shared" si="136"/>
        <v>00</v>
      </c>
      <c r="BN89" t="str">
        <f t="shared" si="137"/>
        <v>00</v>
      </c>
      <c r="BO89" t="str">
        <f t="shared" si="138"/>
        <v>03</v>
      </c>
      <c r="BP89" t="str">
        <f t="shared" si="139"/>
        <v>0105020000000000000000000000000000000003</v>
      </c>
      <c r="BQ89" t="str">
        <f t="shared" si="142"/>
        <v>Menu05 L03 N085</v>
      </c>
      <c r="BR89" t="str">
        <f t="shared" si="140"/>
        <v>file85</v>
      </c>
      <c r="BS89" t="str">
        <f t="shared" si="141"/>
        <v>085,00,00,00,01,05,02,00,00,00,00,00,00,00,00,00,00,00,00,00,00,00,00,03,0105020000000000000000000000000000000003,Menu05 L03 N085,file85</v>
      </c>
    </row>
    <row r="90" spans="3:71" x14ac:dyDescent="0.25">
      <c r="C90">
        <f t="shared" si="143"/>
        <v>86</v>
      </c>
      <c r="D90">
        <v>1</v>
      </c>
      <c r="E90">
        <f>E88</f>
        <v>5</v>
      </c>
      <c r="F90">
        <v>2</v>
      </c>
      <c r="G90">
        <v>1</v>
      </c>
      <c r="W90" t="s">
        <v>1</v>
      </c>
      <c r="X90" t="str">
        <f t="shared" si="144"/>
        <v>|</v>
      </c>
      <c r="Y90" t="str">
        <f t="shared" si="145"/>
        <v>|</v>
      </c>
      <c r="Z90" t="str">
        <f t="shared" si="146"/>
        <v>└</v>
      </c>
      <c r="AA90" t="str">
        <f t="shared" si="147"/>
        <v>--</v>
      </c>
      <c r="AB90" t="str">
        <f t="shared" si="148"/>
        <v/>
      </c>
      <c r="AC90" t="str">
        <f t="shared" si="149"/>
        <v/>
      </c>
      <c r="AD90" t="str">
        <f t="shared" si="150"/>
        <v/>
      </c>
      <c r="AE90" t="str">
        <f t="shared" si="151"/>
        <v/>
      </c>
      <c r="AF90" t="str">
        <f t="shared" si="152"/>
        <v/>
      </c>
      <c r="AG90" t="str">
        <f t="shared" si="153"/>
        <v/>
      </c>
      <c r="AH90" t="str">
        <f t="shared" si="154"/>
        <v/>
      </c>
      <c r="AI90" t="str">
        <f t="shared" si="155"/>
        <v/>
      </c>
      <c r="AJ90" t="str">
        <f t="shared" si="156"/>
        <v/>
      </c>
      <c r="AK90" t="str">
        <f t="shared" si="157"/>
        <v/>
      </c>
      <c r="AL90" t="str">
        <f t="shared" si="158"/>
        <v/>
      </c>
      <c r="AM90" t="str">
        <f t="shared" si="159"/>
        <v/>
      </c>
      <c r="AN90" t="str">
        <f t="shared" si="160"/>
        <v/>
      </c>
      <c r="AO90" t="str">
        <f t="shared" si="161"/>
        <v/>
      </c>
      <c r="AP90" t="str">
        <f t="shared" si="162"/>
        <v/>
      </c>
      <c r="AQ90" t="s">
        <v>1</v>
      </c>
      <c r="AR90" t="str">
        <f t="shared" si="117"/>
        <v>086</v>
      </c>
      <c r="AS90" t="str">
        <f t="shared" si="118"/>
        <v>00</v>
      </c>
      <c r="AT90" t="str">
        <f t="shared" si="118"/>
        <v>00</v>
      </c>
      <c r="AU90" t="str">
        <f t="shared" si="118"/>
        <v>00</v>
      </c>
      <c r="AV90" t="str">
        <f t="shared" si="119"/>
        <v>01</v>
      </c>
      <c r="AW90" t="str">
        <f t="shared" si="120"/>
        <v>05</v>
      </c>
      <c r="AX90" t="str">
        <f t="shared" si="121"/>
        <v>02</v>
      </c>
      <c r="AY90" t="str">
        <f t="shared" si="122"/>
        <v>01</v>
      </c>
      <c r="AZ90" t="str">
        <f t="shared" si="123"/>
        <v>00</v>
      </c>
      <c r="BA90" t="str">
        <f t="shared" si="124"/>
        <v>00</v>
      </c>
      <c r="BB90" t="str">
        <f t="shared" si="125"/>
        <v>00</v>
      </c>
      <c r="BC90" t="str">
        <f t="shared" si="126"/>
        <v>00</v>
      </c>
      <c r="BD90" t="str">
        <f t="shared" si="127"/>
        <v>00</v>
      </c>
      <c r="BE90" t="str">
        <f t="shared" si="128"/>
        <v>00</v>
      </c>
      <c r="BF90" t="str">
        <f t="shared" si="129"/>
        <v>00</v>
      </c>
      <c r="BG90" t="str">
        <f t="shared" si="130"/>
        <v>00</v>
      </c>
      <c r="BH90" t="str">
        <f t="shared" si="131"/>
        <v>00</v>
      </c>
      <c r="BI90" t="str">
        <f t="shared" si="132"/>
        <v>00</v>
      </c>
      <c r="BJ90" t="str">
        <f t="shared" si="133"/>
        <v>00</v>
      </c>
      <c r="BK90" t="str">
        <f t="shared" si="134"/>
        <v>00</v>
      </c>
      <c r="BL90" t="str">
        <f t="shared" si="135"/>
        <v>00</v>
      </c>
      <c r="BM90" t="str">
        <f t="shared" si="136"/>
        <v>00</v>
      </c>
      <c r="BN90" t="str">
        <f t="shared" si="137"/>
        <v>00</v>
      </c>
      <c r="BO90" t="str">
        <f t="shared" si="138"/>
        <v>04</v>
      </c>
      <c r="BP90" t="str">
        <f t="shared" si="139"/>
        <v>0105020100000000000000000000000000000004</v>
      </c>
      <c r="BQ90" t="str">
        <f t="shared" si="142"/>
        <v>Menu05 L04 N086</v>
      </c>
      <c r="BR90" t="str">
        <f t="shared" si="140"/>
        <v>file86</v>
      </c>
      <c r="BS90" t="str">
        <f t="shared" si="141"/>
        <v>086,00,00,00,01,05,02,01,00,00,00,00,00,00,00,00,00,00,00,00,00,00,00,04,0105020100000000000000000000000000000004,Menu05 L04 N086,file86</v>
      </c>
    </row>
    <row r="91" spans="3:71" x14ac:dyDescent="0.25">
      <c r="C91">
        <f t="shared" si="143"/>
        <v>87</v>
      </c>
      <c r="D91">
        <v>1</v>
      </c>
      <c r="E91">
        <f t="shared" ref="E91:E110" si="163">E90</f>
        <v>5</v>
      </c>
      <c r="F91">
        <v>2</v>
      </c>
      <c r="G91">
        <v>2</v>
      </c>
      <c r="W91" t="s">
        <v>1</v>
      </c>
      <c r="X91" t="str">
        <f t="shared" si="144"/>
        <v>|</v>
      </c>
      <c r="Y91" t="str">
        <f t="shared" si="145"/>
        <v>|</v>
      </c>
      <c r="Z91" t="str">
        <f t="shared" si="146"/>
        <v>└</v>
      </c>
      <c r="AA91" t="str">
        <f t="shared" si="147"/>
        <v>--</v>
      </c>
      <c r="AB91" t="str">
        <f t="shared" si="148"/>
        <v/>
      </c>
      <c r="AC91" t="str">
        <f t="shared" si="149"/>
        <v/>
      </c>
      <c r="AD91" t="str">
        <f t="shared" si="150"/>
        <v/>
      </c>
      <c r="AE91" t="str">
        <f t="shared" si="151"/>
        <v/>
      </c>
      <c r="AF91" t="str">
        <f t="shared" si="152"/>
        <v/>
      </c>
      <c r="AG91" t="str">
        <f t="shared" si="153"/>
        <v/>
      </c>
      <c r="AH91" t="str">
        <f t="shared" si="154"/>
        <v/>
      </c>
      <c r="AI91" t="str">
        <f t="shared" si="155"/>
        <v/>
      </c>
      <c r="AJ91" t="str">
        <f t="shared" si="156"/>
        <v/>
      </c>
      <c r="AK91" t="str">
        <f t="shared" si="157"/>
        <v/>
      </c>
      <c r="AL91" t="str">
        <f t="shared" si="158"/>
        <v/>
      </c>
      <c r="AM91" t="str">
        <f t="shared" si="159"/>
        <v/>
      </c>
      <c r="AN91" t="str">
        <f t="shared" si="160"/>
        <v/>
      </c>
      <c r="AO91" t="str">
        <f t="shared" si="161"/>
        <v/>
      </c>
      <c r="AP91" t="str">
        <f t="shared" si="162"/>
        <v/>
      </c>
      <c r="AQ91" t="s">
        <v>1</v>
      </c>
      <c r="AR91" t="str">
        <f t="shared" si="117"/>
        <v>087</v>
      </c>
      <c r="AS91" t="str">
        <f t="shared" si="118"/>
        <v>00</v>
      </c>
      <c r="AT91" t="str">
        <f t="shared" si="118"/>
        <v>00</v>
      </c>
      <c r="AU91" t="str">
        <f t="shared" si="118"/>
        <v>00</v>
      </c>
      <c r="AV91" t="str">
        <f t="shared" si="119"/>
        <v>01</v>
      </c>
      <c r="AW91" t="str">
        <f t="shared" si="120"/>
        <v>05</v>
      </c>
      <c r="AX91" t="str">
        <f t="shared" si="121"/>
        <v>02</v>
      </c>
      <c r="AY91" t="str">
        <f t="shared" si="122"/>
        <v>02</v>
      </c>
      <c r="AZ91" t="str">
        <f t="shared" si="123"/>
        <v>00</v>
      </c>
      <c r="BA91" t="str">
        <f t="shared" si="124"/>
        <v>00</v>
      </c>
      <c r="BB91" t="str">
        <f t="shared" si="125"/>
        <v>00</v>
      </c>
      <c r="BC91" t="str">
        <f t="shared" si="126"/>
        <v>00</v>
      </c>
      <c r="BD91" t="str">
        <f t="shared" si="127"/>
        <v>00</v>
      </c>
      <c r="BE91" t="str">
        <f t="shared" si="128"/>
        <v>00</v>
      </c>
      <c r="BF91" t="str">
        <f t="shared" si="129"/>
        <v>00</v>
      </c>
      <c r="BG91" t="str">
        <f t="shared" si="130"/>
        <v>00</v>
      </c>
      <c r="BH91" t="str">
        <f t="shared" si="131"/>
        <v>00</v>
      </c>
      <c r="BI91" t="str">
        <f t="shared" si="132"/>
        <v>00</v>
      </c>
      <c r="BJ91" t="str">
        <f t="shared" si="133"/>
        <v>00</v>
      </c>
      <c r="BK91" t="str">
        <f t="shared" si="134"/>
        <v>00</v>
      </c>
      <c r="BL91" t="str">
        <f t="shared" si="135"/>
        <v>00</v>
      </c>
      <c r="BM91" t="str">
        <f t="shared" si="136"/>
        <v>00</v>
      </c>
      <c r="BN91" t="str">
        <f t="shared" si="137"/>
        <v>00</v>
      </c>
      <c r="BO91" t="str">
        <f t="shared" si="138"/>
        <v>04</v>
      </c>
      <c r="BP91" t="str">
        <f t="shared" si="139"/>
        <v>0105020200000000000000000000000000000004</v>
      </c>
      <c r="BQ91" t="str">
        <f t="shared" si="142"/>
        <v>Menu05 L04 N087</v>
      </c>
      <c r="BR91" t="str">
        <f t="shared" si="140"/>
        <v>file87</v>
      </c>
      <c r="BS91" t="str">
        <f t="shared" si="141"/>
        <v>087,00,00,00,01,05,02,02,00,00,00,00,00,00,00,00,00,00,00,00,00,00,00,04,0105020200000000000000000000000000000004,Menu05 L04 N087,file87</v>
      </c>
    </row>
    <row r="92" spans="3:71" x14ac:dyDescent="0.25">
      <c r="C92">
        <f t="shared" si="143"/>
        <v>88</v>
      </c>
      <c r="D92">
        <v>1</v>
      </c>
      <c r="E92">
        <f t="shared" si="163"/>
        <v>5</v>
      </c>
      <c r="F92">
        <v>2</v>
      </c>
      <c r="G92">
        <v>3</v>
      </c>
      <c r="W92" t="s">
        <v>1</v>
      </c>
      <c r="X92" t="str">
        <f t="shared" si="144"/>
        <v>|</v>
      </c>
      <c r="Y92" t="str">
        <f t="shared" si="145"/>
        <v>|</v>
      </c>
      <c r="Z92" t="str">
        <f t="shared" si="146"/>
        <v>└</v>
      </c>
      <c r="AA92" t="str">
        <f t="shared" si="147"/>
        <v>--</v>
      </c>
      <c r="AB92" t="str">
        <f t="shared" si="148"/>
        <v/>
      </c>
      <c r="AC92" t="str">
        <f t="shared" si="149"/>
        <v/>
      </c>
      <c r="AD92" t="str">
        <f t="shared" si="150"/>
        <v/>
      </c>
      <c r="AE92" t="str">
        <f t="shared" si="151"/>
        <v/>
      </c>
      <c r="AF92" t="str">
        <f t="shared" si="152"/>
        <v/>
      </c>
      <c r="AG92" t="str">
        <f t="shared" si="153"/>
        <v/>
      </c>
      <c r="AH92" t="str">
        <f t="shared" si="154"/>
        <v/>
      </c>
      <c r="AI92" t="str">
        <f t="shared" si="155"/>
        <v/>
      </c>
      <c r="AJ92" t="str">
        <f t="shared" si="156"/>
        <v/>
      </c>
      <c r="AK92" t="str">
        <f t="shared" si="157"/>
        <v/>
      </c>
      <c r="AL92" t="str">
        <f t="shared" si="158"/>
        <v/>
      </c>
      <c r="AM92" t="str">
        <f t="shared" si="159"/>
        <v/>
      </c>
      <c r="AN92" t="str">
        <f t="shared" si="160"/>
        <v/>
      </c>
      <c r="AO92" t="str">
        <f t="shared" si="161"/>
        <v/>
      </c>
      <c r="AP92" t="str">
        <f t="shared" si="162"/>
        <v/>
      </c>
      <c r="AQ92" t="s">
        <v>1</v>
      </c>
      <c r="AR92" t="str">
        <f t="shared" si="117"/>
        <v>088</v>
      </c>
      <c r="AS92" t="str">
        <f t="shared" si="118"/>
        <v>00</v>
      </c>
      <c r="AT92" t="str">
        <f t="shared" si="118"/>
        <v>00</v>
      </c>
      <c r="AU92" t="str">
        <f t="shared" si="118"/>
        <v>00</v>
      </c>
      <c r="AV92" t="str">
        <f t="shared" si="119"/>
        <v>01</v>
      </c>
      <c r="AW92" t="str">
        <f t="shared" si="120"/>
        <v>05</v>
      </c>
      <c r="AX92" t="str">
        <f t="shared" si="121"/>
        <v>02</v>
      </c>
      <c r="AY92" t="str">
        <f t="shared" si="122"/>
        <v>03</v>
      </c>
      <c r="AZ92" t="str">
        <f t="shared" si="123"/>
        <v>00</v>
      </c>
      <c r="BA92" t="str">
        <f t="shared" si="124"/>
        <v>00</v>
      </c>
      <c r="BB92" t="str">
        <f t="shared" si="125"/>
        <v>00</v>
      </c>
      <c r="BC92" t="str">
        <f t="shared" si="126"/>
        <v>00</v>
      </c>
      <c r="BD92" t="str">
        <f t="shared" si="127"/>
        <v>00</v>
      </c>
      <c r="BE92" t="str">
        <f t="shared" si="128"/>
        <v>00</v>
      </c>
      <c r="BF92" t="str">
        <f t="shared" si="129"/>
        <v>00</v>
      </c>
      <c r="BG92" t="str">
        <f t="shared" si="130"/>
        <v>00</v>
      </c>
      <c r="BH92" t="str">
        <f t="shared" si="131"/>
        <v>00</v>
      </c>
      <c r="BI92" t="str">
        <f t="shared" si="132"/>
        <v>00</v>
      </c>
      <c r="BJ92" t="str">
        <f t="shared" si="133"/>
        <v>00</v>
      </c>
      <c r="BK92" t="str">
        <f t="shared" si="134"/>
        <v>00</v>
      </c>
      <c r="BL92" t="str">
        <f t="shared" si="135"/>
        <v>00</v>
      </c>
      <c r="BM92" t="str">
        <f t="shared" si="136"/>
        <v>00</v>
      </c>
      <c r="BN92" t="str">
        <f t="shared" si="137"/>
        <v>00</v>
      </c>
      <c r="BO92" t="str">
        <f t="shared" si="138"/>
        <v>04</v>
      </c>
      <c r="BP92" t="str">
        <f t="shared" si="139"/>
        <v>0105020300000000000000000000000000000004</v>
      </c>
      <c r="BQ92" t="str">
        <f t="shared" si="142"/>
        <v>Menu05 L04 N088</v>
      </c>
      <c r="BR92" t="str">
        <f t="shared" si="140"/>
        <v>file88</v>
      </c>
      <c r="BS92" t="str">
        <f t="shared" si="141"/>
        <v>088,00,00,00,01,05,02,03,00,00,00,00,00,00,00,00,00,00,00,00,00,00,00,04,0105020300000000000000000000000000000004,Menu05 L04 N088,file88</v>
      </c>
    </row>
    <row r="93" spans="3:71" x14ac:dyDescent="0.25">
      <c r="C93">
        <f t="shared" si="143"/>
        <v>89</v>
      </c>
      <c r="D93">
        <v>1</v>
      </c>
      <c r="E93">
        <v>5</v>
      </c>
      <c r="F93">
        <v>3</v>
      </c>
      <c r="G93">
        <v>0</v>
      </c>
      <c r="W93" t="s">
        <v>1</v>
      </c>
      <c r="X93" t="str">
        <f t="shared" si="144"/>
        <v>|</v>
      </c>
      <c r="Y93" t="str">
        <f t="shared" si="145"/>
        <v>└</v>
      </c>
      <c r="Z93" t="str">
        <f t="shared" si="146"/>
        <v>--</v>
      </c>
      <c r="AA93" t="str">
        <f t="shared" si="147"/>
        <v/>
      </c>
      <c r="AB93" t="str">
        <f t="shared" si="148"/>
        <v/>
      </c>
      <c r="AC93" t="str">
        <f t="shared" si="149"/>
        <v/>
      </c>
      <c r="AD93" t="str">
        <f t="shared" si="150"/>
        <v/>
      </c>
      <c r="AE93" t="str">
        <f t="shared" si="151"/>
        <v/>
      </c>
      <c r="AF93" t="str">
        <f t="shared" si="152"/>
        <v/>
      </c>
      <c r="AG93" t="str">
        <f t="shared" si="153"/>
        <v/>
      </c>
      <c r="AH93" t="str">
        <f t="shared" si="154"/>
        <v/>
      </c>
      <c r="AI93" t="str">
        <f t="shared" si="155"/>
        <v/>
      </c>
      <c r="AJ93" t="str">
        <f t="shared" si="156"/>
        <v/>
      </c>
      <c r="AK93" t="str">
        <f t="shared" si="157"/>
        <v/>
      </c>
      <c r="AL93" t="str">
        <f t="shared" si="158"/>
        <v/>
      </c>
      <c r="AM93" t="str">
        <f t="shared" si="159"/>
        <v/>
      </c>
      <c r="AN93" t="str">
        <f t="shared" si="160"/>
        <v/>
      </c>
      <c r="AO93" t="str">
        <f t="shared" si="161"/>
        <v/>
      </c>
      <c r="AP93" t="str">
        <f t="shared" si="162"/>
        <v/>
      </c>
      <c r="AQ93" t="s">
        <v>1</v>
      </c>
      <c r="AR93" t="str">
        <f t="shared" si="117"/>
        <v>089</v>
      </c>
      <c r="AS93" t="str">
        <f t="shared" si="118"/>
        <v>00</v>
      </c>
      <c r="AT93" t="str">
        <f t="shared" si="118"/>
        <v>00</v>
      </c>
      <c r="AU93" t="str">
        <f t="shared" si="118"/>
        <v>00</v>
      </c>
      <c r="AV93" t="str">
        <f t="shared" si="119"/>
        <v>01</v>
      </c>
      <c r="AW93" t="str">
        <f t="shared" si="120"/>
        <v>05</v>
      </c>
      <c r="AX93" t="str">
        <f t="shared" si="121"/>
        <v>03</v>
      </c>
      <c r="AY93" t="str">
        <f t="shared" si="122"/>
        <v>00</v>
      </c>
      <c r="AZ93" t="str">
        <f t="shared" si="123"/>
        <v>00</v>
      </c>
      <c r="BA93" t="str">
        <f t="shared" si="124"/>
        <v>00</v>
      </c>
      <c r="BB93" t="str">
        <f t="shared" si="125"/>
        <v>00</v>
      </c>
      <c r="BC93" t="str">
        <f t="shared" si="126"/>
        <v>00</v>
      </c>
      <c r="BD93" t="str">
        <f t="shared" si="127"/>
        <v>00</v>
      </c>
      <c r="BE93" t="str">
        <f t="shared" si="128"/>
        <v>00</v>
      </c>
      <c r="BF93" t="str">
        <f t="shared" si="129"/>
        <v>00</v>
      </c>
      <c r="BG93" t="str">
        <f t="shared" si="130"/>
        <v>00</v>
      </c>
      <c r="BH93" t="str">
        <f t="shared" si="131"/>
        <v>00</v>
      </c>
      <c r="BI93" t="str">
        <f t="shared" si="132"/>
        <v>00</v>
      </c>
      <c r="BJ93" t="str">
        <f t="shared" si="133"/>
        <v>00</v>
      </c>
      <c r="BK93" t="str">
        <f t="shared" si="134"/>
        <v>00</v>
      </c>
      <c r="BL93" t="str">
        <f t="shared" si="135"/>
        <v>00</v>
      </c>
      <c r="BM93" t="str">
        <f t="shared" si="136"/>
        <v>00</v>
      </c>
      <c r="BN93" t="str">
        <f t="shared" si="137"/>
        <v>00</v>
      </c>
      <c r="BO93" t="str">
        <f t="shared" si="138"/>
        <v>03</v>
      </c>
      <c r="BP93" t="str">
        <f t="shared" si="139"/>
        <v>0105030000000000000000000000000000000003</v>
      </c>
      <c r="BQ93" t="str">
        <f t="shared" si="142"/>
        <v>Menu05 L03 N089</v>
      </c>
      <c r="BR93" t="str">
        <f t="shared" si="140"/>
        <v>file89</v>
      </c>
      <c r="BS93" t="str">
        <f t="shared" si="141"/>
        <v>089,00,00,00,01,05,03,00,00,00,00,00,00,00,00,00,00,00,00,00,00,00,00,03,0105030000000000000000000000000000000003,Menu05 L03 N089,file89</v>
      </c>
    </row>
    <row r="94" spans="3:71" x14ac:dyDescent="0.25">
      <c r="C94">
        <f t="shared" si="143"/>
        <v>90</v>
      </c>
      <c r="D94">
        <v>1</v>
      </c>
      <c r="E94">
        <f>E92</f>
        <v>5</v>
      </c>
      <c r="F94">
        <v>3</v>
      </c>
      <c r="G94">
        <v>1</v>
      </c>
      <c r="W94" t="s">
        <v>1</v>
      </c>
      <c r="X94" t="str">
        <f t="shared" si="144"/>
        <v>|</v>
      </c>
      <c r="Y94" t="str">
        <f t="shared" si="145"/>
        <v>|</v>
      </c>
      <c r="Z94" t="str">
        <f t="shared" si="146"/>
        <v>└</v>
      </c>
      <c r="AA94" t="str">
        <f t="shared" si="147"/>
        <v>--</v>
      </c>
      <c r="AB94" t="str">
        <f t="shared" si="148"/>
        <v/>
      </c>
      <c r="AC94" t="str">
        <f t="shared" si="149"/>
        <v/>
      </c>
      <c r="AD94" t="str">
        <f t="shared" si="150"/>
        <v/>
      </c>
      <c r="AE94" t="str">
        <f t="shared" si="151"/>
        <v/>
      </c>
      <c r="AF94" t="str">
        <f t="shared" si="152"/>
        <v/>
      </c>
      <c r="AG94" t="str">
        <f t="shared" si="153"/>
        <v/>
      </c>
      <c r="AH94" t="str">
        <f t="shared" si="154"/>
        <v/>
      </c>
      <c r="AI94" t="str">
        <f t="shared" si="155"/>
        <v/>
      </c>
      <c r="AJ94" t="str">
        <f t="shared" si="156"/>
        <v/>
      </c>
      <c r="AK94" t="str">
        <f t="shared" si="157"/>
        <v/>
      </c>
      <c r="AL94" t="str">
        <f t="shared" si="158"/>
        <v/>
      </c>
      <c r="AM94" t="str">
        <f t="shared" si="159"/>
        <v/>
      </c>
      <c r="AN94" t="str">
        <f t="shared" si="160"/>
        <v/>
      </c>
      <c r="AO94" t="str">
        <f t="shared" si="161"/>
        <v/>
      </c>
      <c r="AP94" t="str">
        <f t="shared" si="162"/>
        <v/>
      </c>
      <c r="AQ94" t="s">
        <v>1</v>
      </c>
      <c r="AR94" t="str">
        <f t="shared" si="117"/>
        <v>090</v>
      </c>
      <c r="AS94" t="str">
        <f t="shared" si="118"/>
        <v>00</v>
      </c>
      <c r="AT94" t="str">
        <f t="shared" si="118"/>
        <v>00</v>
      </c>
      <c r="AU94" t="str">
        <f t="shared" si="118"/>
        <v>00</v>
      </c>
      <c r="AV94" t="str">
        <f t="shared" si="119"/>
        <v>01</v>
      </c>
      <c r="AW94" t="str">
        <f t="shared" si="120"/>
        <v>05</v>
      </c>
      <c r="AX94" t="str">
        <f t="shared" si="121"/>
        <v>03</v>
      </c>
      <c r="AY94" t="str">
        <f t="shared" si="122"/>
        <v>01</v>
      </c>
      <c r="AZ94" t="str">
        <f t="shared" si="123"/>
        <v>00</v>
      </c>
      <c r="BA94" t="str">
        <f t="shared" si="124"/>
        <v>00</v>
      </c>
      <c r="BB94" t="str">
        <f t="shared" si="125"/>
        <v>00</v>
      </c>
      <c r="BC94" t="str">
        <f t="shared" si="126"/>
        <v>00</v>
      </c>
      <c r="BD94" t="str">
        <f t="shared" si="127"/>
        <v>00</v>
      </c>
      <c r="BE94" t="str">
        <f t="shared" si="128"/>
        <v>00</v>
      </c>
      <c r="BF94" t="str">
        <f t="shared" si="129"/>
        <v>00</v>
      </c>
      <c r="BG94" t="str">
        <f t="shared" si="130"/>
        <v>00</v>
      </c>
      <c r="BH94" t="str">
        <f t="shared" si="131"/>
        <v>00</v>
      </c>
      <c r="BI94" t="str">
        <f t="shared" si="132"/>
        <v>00</v>
      </c>
      <c r="BJ94" t="str">
        <f t="shared" si="133"/>
        <v>00</v>
      </c>
      <c r="BK94" t="str">
        <f t="shared" si="134"/>
        <v>00</v>
      </c>
      <c r="BL94" t="str">
        <f t="shared" si="135"/>
        <v>00</v>
      </c>
      <c r="BM94" t="str">
        <f t="shared" si="136"/>
        <v>00</v>
      </c>
      <c r="BN94" t="str">
        <f t="shared" si="137"/>
        <v>00</v>
      </c>
      <c r="BO94" t="str">
        <f t="shared" si="138"/>
        <v>04</v>
      </c>
      <c r="BP94" t="str">
        <f t="shared" si="139"/>
        <v>0105030100000000000000000000000000000004</v>
      </c>
      <c r="BQ94" t="str">
        <f t="shared" si="142"/>
        <v>Menu05 L04 N090</v>
      </c>
      <c r="BR94" t="str">
        <f t="shared" si="140"/>
        <v>file90</v>
      </c>
      <c r="BS94" t="str">
        <f t="shared" si="141"/>
        <v>090,00,00,00,01,05,03,01,00,00,00,00,00,00,00,00,00,00,00,00,00,00,00,04,0105030100000000000000000000000000000004,Menu05 L04 N090,file90</v>
      </c>
    </row>
    <row r="95" spans="3:71" x14ac:dyDescent="0.25">
      <c r="C95">
        <f t="shared" si="143"/>
        <v>91</v>
      </c>
      <c r="D95">
        <v>1</v>
      </c>
      <c r="E95">
        <f t="shared" si="163"/>
        <v>5</v>
      </c>
      <c r="F95">
        <v>3</v>
      </c>
      <c r="G95">
        <v>2</v>
      </c>
      <c r="W95" t="s">
        <v>1</v>
      </c>
      <c r="X95" t="str">
        <f t="shared" si="144"/>
        <v>|</v>
      </c>
      <c r="Y95" t="str">
        <f t="shared" si="145"/>
        <v>|</v>
      </c>
      <c r="Z95" t="str">
        <f t="shared" si="146"/>
        <v>└</v>
      </c>
      <c r="AA95" t="str">
        <f t="shared" si="147"/>
        <v>--</v>
      </c>
      <c r="AB95" t="str">
        <f t="shared" si="148"/>
        <v/>
      </c>
      <c r="AC95" t="str">
        <f t="shared" si="149"/>
        <v/>
      </c>
      <c r="AD95" t="str">
        <f t="shared" si="150"/>
        <v/>
      </c>
      <c r="AE95" t="str">
        <f t="shared" si="151"/>
        <v/>
      </c>
      <c r="AF95" t="str">
        <f t="shared" si="152"/>
        <v/>
      </c>
      <c r="AG95" t="str">
        <f t="shared" si="153"/>
        <v/>
      </c>
      <c r="AH95" t="str">
        <f t="shared" si="154"/>
        <v/>
      </c>
      <c r="AI95" t="str">
        <f t="shared" si="155"/>
        <v/>
      </c>
      <c r="AJ95" t="str">
        <f t="shared" si="156"/>
        <v/>
      </c>
      <c r="AK95" t="str">
        <f t="shared" si="157"/>
        <v/>
      </c>
      <c r="AL95" t="str">
        <f t="shared" si="158"/>
        <v/>
      </c>
      <c r="AM95" t="str">
        <f t="shared" si="159"/>
        <v/>
      </c>
      <c r="AN95" t="str">
        <f t="shared" si="160"/>
        <v/>
      </c>
      <c r="AO95" t="str">
        <f t="shared" si="161"/>
        <v/>
      </c>
      <c r="AP95" t="str">
        <f t="shared" si="162"/>
        <v/>
      </c>
      <c r="AQ95" t="s">
        <v>1</v>
      </c>
      <c r="AR95" t="str">
        <f t="shared" si="117"/>
        <v>091</v>
      </c>
      <c r="AS95" t="str">
        <f t="shared" si="118"/>
        <v>00</v>
      </c>
      <c r="AT95" t="str">
        <f t="shared" si="118"/>
        <v>00</v>
      </c>
      <c r="AU95" t="str">
        <f t="shared" si="118"/>
        <v>00</v>
      </c>
      <c r="AV95" t="str">
        <f t="shared" si="119"/>
        <v>01</v>
      </c>
      <c r="AW95" t="str">
        <f t="shared" si="120"/>
        <v>05</v>
      </c>
      <c r="AX95" t="str">
        <f t="shared" si="121"/>
        <v>03</v>
      </c>
      <c r="AY95" t="str">
        <f t="shared" si="122"/>
        <v>02</v>
      </c>
      <c r="AZ95" t="str">
        <f t="shared" si="123"/>
        <v>00</v>
      </c>
      <c r="BA95" t="str">
        <f t="shared" si="124"/>
        <v>00</v>
      </c>
      <c r="BB95" t="str">
        <f t="shared" si="125"/>
        <v>00</v>
      </c>
      <c r="BC95" t="str">
        <f t="shared" si="126"/>
        <v>00</v>
      </c>
      <c r="BD95" t="str">
        <f t="shared" si="127"/>
        <v>00</v>
      </c>
      <c r="BE95" t="str">
        <f t="shared" si="128"/>
        <v>00</v>
      </c>
      <c r="BF95" t="str">
        <f t="shared" si="129"/>
        <v>00</v>
      </c>
      <c r="BG95" t="str">
        <f t="shared" si="130"/>
        <v>00</v>
      </c>
      <c r="BH95" t="str">
        <f t="shared" si="131"/>
        <v>00</v>
      </c>
      <c r="BI95" t="str">
        <f t="shared" si="132"/>
        <v>00</v>
      </c>
      <c r="BJ95" t="str">
        <f t="shared" si="133"/>
        <v>00</v>
      </c>
      <c r="BK95" t="str">
        <f t="shared" si="134"/>
        <v>00</v>
      </c>
      <c r="BL95" t="str">
        <f t="shared" si="135"/>
        <v>00</v>
      </c>
      <c r="BM95" t="str">
        <f t="shared" si="136"/>
        <v>00</v>
      </c>
      <c r="BN95" t="str">
        <f t="shared" si="137"/>
        <v>00</v>
      </c>
      <c r="BO95" t="str">
        <f t="shared" si="138"/>
        <v>04</v>
      </c>
      <c r="BP95" t="str">
        <f t="shared" si="139"/>
        <v>0105030200000000000000000000000000000004</v>
      </c>
      <c r="BQ95" t="str">
        <f t="shared" si="142"/>
        <v>Menu05 L04 N091</v>
      </c>
      <c r="BR95" t="str">
        <f t="shared" si="140"/>
        <v>file91</v>
      </c>
      <c r="BS95" t="str">
        <f t="shared" si="141"/>
        <v>091,00,00,00,01,05,03,02,00,00,00,00,00,00,00,00,00,00,00,00,00,00,00,04,0105030200000000000000000000000000000004,Menu05 L04 N091,file91</v>
      </c>
    </row>
    <row r="96" spans="3:71" x14ac:dyDescent="0.25">
      <c r="C96">
        <f t="shared" si="143"/>
        <v>92</v>
      </c>
      <c r="D96">
        <v>1</v>
      </c>
      <c r="E96">
        <f t="shared" si="163"/>
        <v>5</v>
      </c>
      <c r="F96">
        <v>3</v>
      </c>
      <c r="G96">
        <v>3</v>
      </c>
      <c r="W96" t="s">
        <v>1</v>
      </c>
      <c r="X96" t="str">
        <f t="shared" si="144"/>
        <v>|</v>
      </c>
      <c r="Y96" t="str">
        <f t="shared" si="145"/>
        <v>|</v>
      </c>
      <c r="Z96" t="str">
        <f t="shared" si="146"/>
        <v>└</v>
      </c>
      <c r="AA96" t="str">
        <f t="shared" si="147"/>
        <v>--</v>
      </c>
      <c r="AB96" t="str">
        <f t="shared" si="148"/>
        <v/>
      </c>
      <c r="AC96" t="str">
        <f t="shared" si="149"/>
        <v/>
      </c>
      <c r="AD96" t="str">
        <f t="shared" si="150"/>
        <v/>
      </c>
      <c r="AE96" t="str">
        <f t="shared" si="151"/>
        <v/>
      </c>
      <c r="AF96" t="str">
        <f t="shared" si="152"/>
        <v/>
      </c>
      <c r="AG96" t="str">
        <f t="shared" si="153"/>
        <v/>
      </c>
      <c r="AH96" t="str">
        <f t="shared" si="154"/>
        <v/>
      </c>
      <c r="AI96" t="str">
        <f t="shared" si="155"/>
        <v/>
      </c>
      <c r="AJ96" t="str">
        <f t="shared" si="156"/>
        <v/>
      </c>
      <c r="AK96" t="str">
        <f t="shared" si="157"/>
        <v/>
      </c>
      <c r="AL96" t="str">
        <f t="shared" si="158"/>
        <v/>
      </c>
      <c r="AM96" t="str">
        <f t="shared" si="159"/>
        <v/>
      </c>
      <c r="AN96" t="str">
        <f t="shared" si="160"/>
        <v/>
      </c>
      <c r="AO96" t="str">
        <f t="shared" si="161"/>
        <v/>
      </c>
      <c r="AP96" t="str">
        <f t="shared" si="162"/>
        <v/>
      </c>
      <c r="AQ96" t="s">
        <v>1</v>
      </c>
      <c r="AR96" t="str">
        <f t="shared" si="117"/>
        <v>092</v>
      </c>
      <c r="AS96" t="str">
        <f t="shared" si="118"/>
        <v>00</v>
      </c>
      <c r="AT96" t="str">
        <f t="shared" si="118"/>
        <v>00</v>
      </c>
      <c r="AU96" t="str">
        <f t="shared" si="118"/>
        <v>00</v>
      </c>
      <c r="AV96" t="str">
        <f t="shared" si="119"/>
        <v>01</v>
      </c>
      <c r="AW96" t="str">
        <f t="shared" si="120"/>
        <v>05</v>
      </c>
      <c r="AX96" t="str">
        <f t="shared" si="121"/>
        <v>03</v>
      </c>
      <c r="AY96" t="str">
        <f t="shared" si="122"/>
        <v>03</v>
      </c>
      <c r="AZ96" t="str">
        <f t="shared" si="123"/>
        <v>00</v>
      </c>
      <c r="BA96" t="str">
        <f t="shared" si="124"/>
        <v>00</v>
      </c>
      <c r="BB96" t="str">
        <f t="shared" si="125"/>
        <v>00</v>
      </c>
      <c r="BC96" t="str">
        <f t="shared" si="126"/>
        <v>00</v>
      </c>
      <c r="BD96" t="str">
        <f t="shared" si="127"/>
        <v>00</v>
      </c>
      <c r="BE96" t="str">
        <f t="shared" si="128"/>
        <v>00</v>
      </c>
      <c r="BF96" t="str">
        <f t="shared" si="129"/>
        <v>00</v>
      </c>
      <c r="BG96" t="str">
        <f t="shared" si="130"/>
        <v>00</v>
      </c>
      <c r="BH96" t="str">
        <f t="shared" si="131"/>
        <v>00</v>
      </c>
      <c r="BI96" t="str">
        <f t="shared" si="132"/>
        <v>00</v>
      </c>
      <c r="BJ96" t="str">
        <f t="shared" si="133"/>
        <v>00</v>
      </c>
      <c r="BK96" t="str">
        <f t="shared" si="134"/>
        <v>00</v>
      </c>
      <c r="BL96" t="str">
        <f t="shared" si="135"/>
        <v>00</v>
      </c>
      <c r="BM96" t="str">
        <f t="shared" si="136"/>
        <v>00</v>
      </c>
      <c r="BN96" t="str">
        <f t="shared" si="137"/>
        <v>00</v>
      </c>
      <c r="BO96" t="str">
        <f t="shared" si="138"/>
        <v>04</v>
      </c>
      <c r="BP96" t="str">
        <f t="shared" si="139"/>
        <v>0105030300000000000000000000000000000004</v>
      </c>
      <c r="BQ96" t="str">
        <f t="shared" si="142"/>
        <v>Menu05 L04 N092</v>
      </c>
      <c r="BR96" t="str">
        <f t="shared" si="140"/>
        <v>file92</v>
      </c>
      <c r="BS96" t="str">
        <f t="shared" si="141"/>
        <v>092,00,00,00,01,05,03,03,00,00,00,00,00,00,00,00,00,00,00,00,00,00,00,04,0105030300000000000000000000000000000004,Menu05 L04 N092,file92</v>
      </c>
    </row>
    <row r="97" spans="3:71" x14ac:dyDescent="0.25">
      <c r="C97">
        <f t="shared" si="143"/>
        <v>93</v>
      </c>
      <c r="D97">
        <v>1</v>
      </c>
      <c r="E97">
        <f t="shared" si="163"/>
        <v>5</v>
      </c>
      <c r="F97">
        <v>3</v>
      </c>
      <c r="G97">
        <v>4</v>
      </c>
      <c r="W97" t="s">
        <v>1</v>
      </c>
      <c r="X97" t="str">
        <f t="shared" si="144"/>
        <v>|</v>
      </c>
      <c r="Y97" t="str">
        <f t="shared" si="145"/>
        <v>|</v>
      </c>
      <c r="Z97" t="str">
        <f t="shared" si="146"/>
        <v>└</v>
      </c>
      <c r="AA97" t="str">
        <f t="shared" si="147"/>
        <v>--</v>
      </c>
      <c r="AB97" t="str">
        <f t="shared" si="148"/>
        <v/>
      </c>
      <c r="AC97" t="str">
        <f t="shared" si="149"/>
        <v/>
      </c>
      <c r="AD97" t="str">
        <f t="shared" si="150"/>
        <v/>
      </c>
      <c r="AE97" t="str">
        <f t="shared" si="151"/>
        <v/>
      </c>
      <c r="AF97" t="str">
        <f t="shared" si="152"/>
        <v/>
      </c>
      <c r="AG97" t="str">
        <f t="shared" si="153"/>
        <v/>
      </c>
      <c r="AH97" t="str">
        <f t="shared" si="154"/>
        <v/>
      </c>
      <c r="AI97" t="str">
        <f t="shared" si="155"/>
        <v/>
      </c>
      <c r="AJ97" t="str">
        <f t="shared" si="156"/>
        <v/>
      </c>
      <c r="AK97" t="str">
        <f t="shared" si="157"/>
        <v/>
      </c>
      <c r="AL97" t="str">
        <f t="shared" si="158"/>
        <v/>
      </c>
      <c r="AM97" t="str">
        <f t="shared" si="159"/>
        <v/>
      </c>
      <c r="AN97" t="str">
        <f t="shared" si="160"/>
        <v/>
      </c>
      <c r="AO97" t="str">
        <f t="shared" si="161"/>
        <v/>
      </c>
      <c r="AP97" t="str">
        <f t="shared" si="162"/>
        <v/>
      </c>
      <c r="AQ97" t="s">
        <v>1</v>
      </c>
      <c r="AR97" t="str">
        <f t="shared" si="117"/>
        <v>093</v>
      </c>
      <c r="AS97" t="str">
        <f t="shared" si="118"/>
        <v>00</v>
      </c>
      <c r="AT97" t="str">
        <f t="shared" si="118"/>
        <v>00</v>
      </c>
      <c r="AU97" t="str">
        <f t="shared" si="118"/>
        <v>00</v>
      </c>
      <c r="AV97" t="str">
        <f t="shared" si="119"/>
        <v>01</v>
      </c>
      <c r="AW97" t="str">
        <f t="shared" si="120"/>
        <v>05</v>
      </c>
      <c r="AX97" t="str">
        <f t="shared" si="121"/>
        <v>03</v>
      </c>
      <c r="AY97" t="str">
        <f t="shared" si="122"/>
        <v>04</v>
      </c>
      <c r="AZ97" t="str">
        <f t="shared" si="123"/>
        <v>00</v>
      </c>
      <c r="BA97" t="str">
        <f t="shared" si="124"/>
        <v>00</v>
      </c>
      <c r="BB97" t="str">
        <f t="shared" si="125"/>
        <v>00</v>
      </c>
      <c r="BC97" t="str">
        <f t="shared" si="126"/>
        <v>00</v>
      </c>
      <c r="BD97" t="str">
        <f t="shared" si="127"/>
        <v>00</v>
      </c>
      <c r="BE97" t="str">
        <f t="shared" si="128"/>
        <v>00</v>
      </c>
      <c r="BF97" t="str">
        <f t="shared" si="129"/>
        <v>00</v>
      </c>
      <c r="BG97" t="str">
        <f t="shared" si="130"/>
        <v>00</v>
      </c>
      <c r="BH97" t="str">
        <f t="shared" si="131"/>
        <v>00</v>
      </c>
      <c r="BI97" t="str">
        <f t="shared" si="132"/>
        <v>00</v>
      </c>
      <c r="BJ97" t="str">
        <f t="shared" si="133"/>
        <v>00</v>
      </c>
      <c r="BK97" t="str">
        <f t="shared" si="134"/>
        <v>00</v>
      </c>
      <c r="BL97" t="str">
        <f t="shared" si="135"/>
        <v>00</v>
      </c>
      <c r="BM97" t="str">
        <f t="shared" si="136"/>
        <v>00</v>
      </c>
      <c r="BN97" t="str">
        <f t="shared" si="137"/>
        <v>00</v>
      </c>
      <c r="BO97" t="str">
        <f t="shared" si="138"/>
        <v>04</v>
      </c>
      <c r="BP97" t="str">
        <f t="shared" si="139"/>
        <v>0105030400000000000000000000000000000004</v>
      </c>
      <c r="BQ97" t="str">
        <f t="shared" si="142"/>
        <v>Menu05 L04 N093</v>
      </c>
      <c r="BR97" t="str">
        <f t="shared" si="140"/>
        <v>file93</v>
      </c>
      <c r="BS97" t="str">
        <f t="shared" si="141"/>
        <v>093,00,00,00,01,05,03,04,00,00,00,00,00,00,00,00,00,00,00,00,00,00,00,04,0105030400000000000000000000000000000004,Menu05 L04 N093,file93</v>
      </c>
    </row>
    <row r="98" spans="3:71" x14ac:dyDescent="0.25">
      <c r="C98">
        <f t="shared" si="143"/>
        <v>94</v>
      </c>
      <c r="D98">
        <v>1</v>
      </c>
      <c r="E98">
        <v>6</v>
      </c>
      <c r="F98">
        <v>0</v>
      </c>
      <c r="W98" t="s">
        <v>1</v>
      </c>
      <c r="X98" t="str">
        <f t="shared" si="144"/>
        <v>└</v>
      </c>
      <c r="Y98" t="str">
        <f t="shared" si="145"/>
        <v>--</v>
      </c>
      <c r="Z98" t="str">
        <f t="shared" si="146"/>
        <v/>
      </c>
      <c r="AA98" t="str">
        <f t="shared" si="147"/>
        <v/>
      </c>
      <c r="AB98" t="str">
        <f t="shared" si="148"/>
        <v/>
      </c>
      <c r="AC98" t="str">
        <f t="shared" si="149"/>
        <v/>
      </c>
      <c r="AD98" t="str">
        <f t="shared" si="150"/>
        <v/>
      </c>
      <c r="AE98" t="str">
        <f t="shared" si="151"/>
        <v/>
      </c>
      <c r="AF98" t="str">
        <f t="shared" si="152"/>
        <v/>
      </c>
      <c r="AG98" t="str">
        <f t="shared" si="153"/>
        <v/>
      </c>
      <c r="AH98" t="str">
        <f t="shared" si="154"/>
        <v/>
      </c>
      <c r="AI98" t="str">
        <f t="shared" si="155"/>
        <v/>
      </c>
      <c r="AJ98" t="str">
        <f t="shared" si="156"/>
        <v/>
      </c>
      <c r="AK98" t="str">
        <f t="shared" si="157"/>
        <v/>
      </c>
      <c r="AL98" t="str">
        <f t="shared" si="158"/>
        <v/>
      </c>
      <c r="AM98" t="str">
        <f t="shared" si="159"/>
        <v/>
      </c>
      <c r="AN98" t="str">
        <f t="shared" si="160"/>
        <v/>
      </c>
      <c r="AO98" t="str">
        <f t="shared" si="161"/>
        <v/>
      </c>
      <c r="AP98" t="str">
        <f t="shared" si="162"/>
        <v/>
      </c>
      <c r="AQ98" t="s">
        <v>1</v>
      </c>
      <c r="AR98" t="str">
        <f t="shared" si="117"/>
        <v>094</v>
      </c>
      <c r="AS98" t="str">
        <f t="shared" si="118"/>
        <v>00</v>
      </c>
      <c r="AT98" t="str">
        <f t="shared" si="118"/>
        <v>00</v>
      </c>
      <c r="AU98" t="str">
        <f t="shared" si="118"/>
        <v>00</v>
      </c>
      <c r="AV98" t="str">
        <f t="shared" si="119"/>
        <v>01</v>
      </c>
      <c r="AW98" t="str">
        <f t="shared" si="120"/>
        <v>06</v>
      </c>
      <c r="AX98" t="str">
        <f t="shared" si="121"/>
        <v>00</v>
      </c>
      <c r="AY98" t="str">
        <f t="shared" si="122"/>
        <v>00</v>
      </c>
      <c r="AZ98" t="str">
        <f t="shared" si="123"/>
        <v>00</v>
      </c>
      <c r="BA98" t="str">
        <f t="shared" si="124"/>
        <v>00</v>
      </c>
      <c r="BB98" t="str">
        <f t="shared" si="125"/>
        <v>00</v>
      </c>
      <c r="BC98" t="str">
        <f t="shared" si="126"/>
        <v>00</v>
      </c>
      <c r="BD98" t="str">
        <f t="shared" si="127"/>
        <v>00</v>
      </c>
      <c r="BE98" t="str">
        <f t="shared" si="128"/>
        <v>00</v>
      </c>
      <c r="BF98" t="str">
        <f t="shared" si="129"/>
        <v>00</v>
      </c>
      <c r="BG98" t="str">
        <f t="shared" si="130"/>
        <v>00</v>
      </c>
      <c r="BH98" t="str">
        <f t="shared" si="131"/>
        <v>00</v>
      </c>
      <c r="BI98" t="str">
        <f t="shared" si="132"/>
        <v>00</v>
      </c>
      <c r="BJ98" t="str">
        <f t="shared" si="133"/>
        <v>00</v>
      </c>
      <c r="BK98" t="str">
        <f t="shared" si="134"/>
        <v>00</v>
      </c>
      <c r="BL98" t="str">
        <f t="shared" si="135"/>
        <v>00</v>
      </c>
      <c r="BM98" t="str">
        <f t="shared" si="136"/>
        <v>00</v>
      </c>
      <c r="BN98" t="str">
        <f t="shared" si="137"/>
        <v>00</v>
      </c>
      <c r="BO98" t="str">
        <f t="shared" si="138"/>
        <v>02</v>
      </c>
      <c r="BP98" t="str">
        <f t="shared" si="139"/>
        <v>0106000000000000000000000000000000000002</v>
      </c>
      <c r="BQ98" t="str">
        <f t="shared" si="142"/>
        <v>Menu06 L02 N094</v>
      </c>
      <c r="BR98" t="str">
        <f t="shared" si="140"/>
        <v>file94</v>
      </c>
      <c r="BS98" t="str">
        <f t="shared" si="141"/>
        <v>094,00,00,00,01,06,00,00,00,00,00,00,00,00,00,00,00,00,00,00,00,00,00,02,0106000000000000000000000000000000000002,Menu06 L02 N094,file94</v>
      </c>
    </row>
    <row r="99" spans="3:71" x14ac:dyDescent="0.25">
      <c r="C99">
        <f t="shared" si="143"/>
        <v>95</v>
      </c>
      <c r="D99">
        <v>1</v>
      </c>
      <c r="E99">
        <v>6</v>
      </c>
      <c r="F99">
        <v>1</v>
      </c>
      <c r="G99">
        <v>0</v>
      </c>
      <c r="W99" t="s">
        <v>1</v>
      </c>
      <c r="X99" t="str">
        <f t="shared" si="144"/>
        <v>|</v>
      </c>
      <c r="Y99" t="str">
        <f t="shared" si="145"/>
        <v>└</v>
      </c>
      <c r="Z99" t="str">
        <f t="shared" si="146"/>
        <v>--</v>
      </c>
      <c r="AA99" t="str">
        <f t="shared" si="147"/>
        <v/>
      </c>
      <c r="AB99" t="str">
        <f t="shared" si="148"/>
        <v/>
      </c>
      <c r="AC99" t="str">
        <f t="shared" si="149"/>
        <v/>
      </c>
      <c r="AD99" t="str">
        <f t="shared" si="150"/>
        <v/>
      </c>
      <c r="AE99" t="str">
        <f t="shared" si="151"/>
        <v/>
      </c>
      <c r="AF99" t="str">
        <f t="shared" si="152"/>
        <v/>
      </c>
      <c r="AG99" t="str">
        <f t="shared" si="153"/>
        <v/>
      </c>
      <c r="AH99" t="str">
        <f t="shared" si="154"/>
        <v/>
      </c>
      <c r="AI99" t="str">
        <f t="shared" si="155"/>
        <v/>
      </c>
      <c r="AJ99" t="str">
        <f t="shared" si="156"/>
        <v/>
      </c>
      <c r="AK99" t="str">
        <f t="shared" si="157"/>
        <v/>
      </c>
      <c r="AL99" t="str">
        <f t="shared" si="158"/>
        <v/>
      </c>
      <c r="AM99" t="str">
        <f t="shared" si="159"/>
        <v/>
      </c>
      <c r="AN99" t="str">
        <f t="shared" si="160"/>
        <v/>
      </c>
      <c r="AO99" t="str">
        <f t="shared" si="161"/>
        <v/>
      </c>
      <c r="AP99" t="str">
        <f t="shared" si="162"/>
        <v/>
      </c>
      <c r="AQ99" t="s">
        <v>1</v>
      </c>
      <c r="AR99" t="str">
        <f t="shared" si="117"/>
        <v>095</v>
      </c>
      <c r="AS99" t="str">
        <f t="shared" si="118"/>
        <v>00</v>
      </c>
      <c r="AT99" t="str">
        <f t="shared" si="118"/>
        <v>00</v>
      </c>
      <c r="AU99" t="str">
        <f t="shared" si="118"/>
        <v>00</v>
      </c>
      <c r="AV99" t="str">
        <f t="shared" si="119"/>
        <v>01</v>
      </c>
      <c r="AW99" t="str">
        <f t="shared" si="120"/>
        <v>06</v>
      </c>
      <c r="AX99" t="str">
        <f t="shared" si="121"/>
        <v>01</v>
      </c>
      <c r="AY99" t="str">
        <f t="shared" si="122"/>
        <v>00</v>
      </c>
      <c r="AZ99" t="str">
        <f t="shared" si="123"/>
        <v>00</v>
      </c>
      <c r="BA99" t="str">
        <f t="shared" si="124"/>
        <v>00</v>
      </c>
      <c r="BB99" t="str">
        <f t="shared" si="125"/>
        <v>00</v>
      </c>
      <c r="BC99" t="str">
        <f t="shared" si="126"/>
        <v>00</v>
      </c>
      <c r="BD99" t="str">
        <f t="shared" si="127"/>
        <v>00</v>
      </c>
      <c r="BE99" t="str">
        <f t="shared" si="128"/>
        <v>00</v>
      </c>
      <c r="BF99" t="str">
        <f t="shared" si="129"/>
        <v>00</v>
      </c>
      <c r="BG99" t="str">
        <f t="shared" si="130"/>
        <v>00</v>
      </c>
      <c r="BH99" t="str">
        <f t="shared" si="131"/>
        <v>00</v>
      </c>
      <c r="BI99" t="str">
        <f t="shared" si="132"/>
        <v>00</v>
      </c>
      <c r="BJ99" t="str">
        <f t="shared" si="133"/>
        <v>00</v>
      </c>
      <c r="BK99" t="str">
        <f t="shared" si="134"/>
        <v>00</v>
      </c>
      <c r="BL99" t="str">
        <f t="shared" si="135"/>
        <v>00</v>
      </c>
      <c r="BM99" t="str">
        <f t="shared" si="136"/>
        <v>00</v>
      </c>
      <c r="BN99" t="str">
        <f t="shared" si="137"/>
        <v>00</v>
      </c>
      <c r="BO99" t="str">
        <f t="shared" si="138"/>
        <v>03</v>
      </c>
      <c r="BP99" t="str">
        <f t="shared" si="139"/>
        <v>0106010000000000000000000000000000000003</v>
      </c>
      <c r="BQ99" t="str">
        <f t="shared" si="142"/>
        <v>Menu06 L03 N095</v>
      </c>
      <c r="BR99" t="str">
        <f t="shared" si="140"/>
        <v>file95</v>
      </c>
      <c r="BS99" t="str">
        <f t="shared" si="141"/>
        <v>095,00,00,00,01,06,01,00,00,00,00,00,00,00,00,00,00,00,00,00,00,00,00,03,0106010000000000000000000000000000000003,Menu06 L03 N095,file95</v>
      </c>
    </row>
    <row r="100" spans="3:71" x14ac:dyDescent="0.25">
      <c r="C100">
        <f t="shared" si="143"/>
        <v>96</v>
      </c>
      <c r="D100">
        <v>1</v>
      </c>
      <c r="E100">
        <v>6</v>
      </c>
      <c r="F100">
        <v>1</v>
      </c>
      <c r="G100">
        <v>1</v>
      </c>
      <c r="W100" t="s">
        <v>1</v>
      </c>
      <c r="X100" t="str">
        <f t="shared" si="144"/>
        <v>|</v>
      </c>
      <c r="Y100" t="str">
        <f t="shared" si="145"/>
        <v>|</v>
      </c>
      <c r="Z100" t="str">
        <f t="shared" si="146"/>
        <v>└</v>
      </c>
      <c r="AA100" t="str">
        <f t="shared" si="147"/>
        <v>--</v>
      </c>
      <c r="AB100" t="str">
        <f t="shared" si="148"/>
        <v/>
      </c>
      <c r="AC100" t="str">
        <f t="shared" si="149"/>
        <v/>
      </c>
      <c r="AD100" t="str">
        <f t="shared" si="150"/>
        <v/>
      </c>
      <c r="AE100" t="str">
        <f t="shared" si="151"/>
        <v/>
      </c>
      <c r="AF100" t="str">
        <f t="shared" si="152"/>
        <v/>
      </c>
      <c r="AG100" t="str">
        <f t="shared" si="153"/>
        <v/>
      </c>
      <c r="AH100" t="str">
        <f t="shared" si="154"/>
        <v/>
      </c>
      <c r="AI100" t="str">
        <f t="shared" si="155"/>
        <v/>
      </c>
      <c r="AJ100" t="str">
        <f t="shared" si="156"/>
        <v/>
      </c>
      <c r="AK100" t="str">
        <f t="shared" si="157"/>
        <v/>
      </c>
      <c r="AL100" t="str">
        <f t="shared" si="158"/>
        <v/>
      </c>
      <c r="AM100" t="str">
        <f t="shared" si="159"/>
        <v/>
      </c>
      <c r="AN100" t="str">
        <f t="shared" si="160"/>
        <v/>
      </c>
      <c r="AO100" t="str">
        <f t="shared" si="161"/>
        <v/>
      </c>
      <c r="AP100" t="str">
        <f t="shared" si="162"/>
        <v/>
      </c>
      <c r="AQ100" t="s">
        <v>1</v>
      </c>
      <c r="AR100" t="str">
        <f t="shared" si="117"/>
        <v>096</v>
      </c>
      <c r="AS100" t="str">
        <f t="shared" si="118"/>
        <v>00</v>
      </c>
      <c r="AT100" t="str">
        <f t="shared" si="118"/>
        <v>00</v>
      </c>
      <c r="AU100" t="str">
        <f t="shared" si="118"/>
        <v>00</v>
      </c>
      <c r="AV100" t="str">
        <f t="shared" si="119"/>
        <v>01</v>
      </c>
      <c r="AW100" t="str">
        <f t="shared" si="120"/>
        <v>06</v>
      </c>
      <c r="AX100" t="str">
        <f t="shared" si="121"/>
        <v>01</v>
      </c>
      <c r="AY100" t="str">
        <f t="shared" si="122"/>
        <v>01</v>
      </c>
      <c r="AZ100" t="str">
        <f t="shared" si="123"/>
        <v>00</v>
      </c>
      <c r="BA100" t="str">
        <f t="shared" si="124"/>
        <v>00</v>
      </c>
      <c r="BB100" t="str">
        <f t="shared" si="125"/>
        <v>00</v>
      </c>
      <c r="BC100" t="str">
        <f t="shared" si="126"/>
        <v>00</v>
      </c>
      <c r="BD100" t="str">
        <f t="shared" si="127"/>
        <v>00</v>
      </c>
      <c r="BE100" t="str">
        <f t="shared" si="128"/>
        <v>00</v>
      </c>
      <c r="BF100" t="str">
        <f t="shared" si="129"/>
        <v>00</v>
      </c>
      <c r="BG100" t="str">
        <f t="shared" si="130"/>
        <v>00</v>
      </c>
      <c r="BH100" t="str">
        <f t="shared" si="131"/>
        <v>00</v>
      </c>
      <c r="BI100" t="str">
        <f t="shared" si="132"/>
        <v>00</v>
      </c>
      <c r="BJ100" t="str">
        <f t="shared" si="133"/>
        <v>00</v>
      </c>
      <c r="BK100" t="str">
        <f t="shared" si="134"/>
        <v>00</v>
      </c>
      <c r="BL100" t="str">
        <f t="shared" si="135"/>
        <v>00</v>
      </c>
      <c r="BM100" t="str">
        <f t="shared" si="136"/>
        <v>00</v>
      </c>
      <c r="BN100" t="str">
        <f t="shared" si="137"/>
        <v>00</v>
      </c>
      <c r="BO100" t="str">
        <f t="shared" si="138"/>
        <v>04</v>
      </c>
      <c r="BP100" t="str">
        <f t="shared" si="139"/>
        <v>0106010100000000000000000000000000000004</v>
      </c>
      <c r="BQ100" t="str">
        <f t="shared" si="142"/>
        <v>Menu06 L04 N096</v>
      </c>
      <c r="BR100" t="str">
        <f t="shared" si="140"/>
        <v>file96</v>
      </c>
      <c r="BS100" t="str">
        <f t="shared" si="141"/>
        <v>096,00,00,00,01,06,01,01,00,00,00,00,00,00,00,00,00,00,00,00,00,00,00,04,0106010100000000000000000000000000000004,Menu06 L04 N096,file96</v>
      </c>
    </row>
    <row r="101" spans="3:71" x14ac:dyDescent="0.25">
      <c r="C101">
        <f t="shared" si="143"/>
        <v>97</v>
      </c>
      <c r="D101">
        <v>1</v>
      </c>
      <c r="E101">
        <f t="shared" si="163"/>
        <v>6</v>
      </c>
      <c r="F101">
        <v>1</v>
      </c>
      <c r="G101">
        <v>2</v>
      </c>
      <c r="W101" t="s">
        <v>1</v>
      </c>
      <c r="X101" t="str">
        <f t="shared" si="144"/>
        <v>|</v>
      </c>
      <c r="Y101" t="str">
        <f t="shared" si="145"/>
        <v>|</v>
      </c>
      <c r="Z101" t="str">
        <f t="shared" si="146"/>
        <v>└</v>
      </c>
      <c r="AA101" t="str">
        <f t="shared" si="147"/>
        <v>--</v>
      </c>
      <c r="AB101" t="str">
        <f t="shared" si="148"/>
        <v/>
      </c>
      <c r="AC101" t="str">
        <f t="shared" si="149"/>
        <v/>
      </c>
      <c r="AD101" t="str">
        <f t="shared" si="150"/>
        <v/>
      </c>
      <c r="AE101" t="str">
        <f t="shared" si="151"/>
        <v/>
      </c>
      <c r="AF101" t="str">
        <f t="shared" si="152"/>
        <v/>
      </c>
      <c r="AG101" t="str">
        <f t="shared" si="153"/>
        <v/>
      </c>
      <c r="AH101" t="str">
        <f t="shared" si="154"/>
        <v/>
      </c>
      <c r="AI101" t="str">
        <f t="shared" si="155"/>
        <v/>
      </c>
      <c r="AJ101" t="str">
        <f t="shared" si="156"/>
        <v/>
      </c>
      <c r="AK101" t="str">
        <f t="shared" si="157"/>
        <v/>
      </c>
      <c r="AL101" t="str">
        <f t="shared" si="158"/>
        <v/>
      </c>
      <c r="AM101" t="str">
        <f t="shared" si="159"/>
        <v/>
      </c>
      <c r="AN101" t="str">
        <f t="shared" si="160"/>
        <v/>
      </c>
      <c r="AO101" t="str">
        <f t="shared" si="161"/>
        <v/>
      </c>
      <c r="AP101" t="str">
        <f t="shared" si="162"/>
        <v/>
      </c>
      <c r="AQ101" t="s">
        <v>1</v>
      </c>
      <c r="AR101" t="str">
        <f t="shared" si="117"/>
        <v>097</v>
      </c>
      <c r="AS101" t="str">
        <f t="shared" si="118"/>
        <v>00</v>
      </c>
      <c r="AT101" t="str">
        <f t="shared" si="118"/>
        <v>00</v>
      </c>
      <c r="AU101" t="str">
        <f t="shared" si="118"/>
        <v>00</v>
      </c>
      <c r="AV101" t="str">
        <f t="shared" si="119"/>
        <v>01</v>
      </c>
      <c r="AW101" t="str">
        <f t="shared" si="120"/>
        <v>06</v>
      </c>
      <c r="AX101" t="str">
        <f t="shared" si="121"/>
        <v>01</v>
      </c>
      <c r="AY101" t="str">
        <f t="shared" si="122"/>
        <v>02</v>
      </c>
      <c r="AZ101" t="str">
        <f t="shared" si="123"/>
        <v>00</v>
      </c>
      <c r="BA101" t="str">
        <f t="shared" si="124"/>
        <v>00</v>
      </c>
      <c r="BB101" t="str">
        <f t="shared" si="125"/>
        <v>00</v>
      </c>
      <c r="BC101" t="str">
        <f t="shared" si="126"/>
        <v>00</v>
      </c>
      <c r="BD101" t="str">
        <f t="shared" si="127"/>
        <v>00</v>
      </c>
      <c r="BE101" t="str">
        <f t="shared" si="128"/>
        <v>00</v>
      </c>
      <c r="BF101" t="str">
        <f t="shared" si="129"/>
        <v>00</v>
      </c>
      <c r="BG101" t="str">
        <f t="shared" si="130"/>
        <v>00</v>
      </c>
      <c r="BH101" t="str">
        <f t="shared" si="131"/>
        <v>00</v>
      </c>
      <c r="BI101" t="str">
        <f t="shared" si="132"/>
        <v>00</v>
      </c>
      <c r="BJ101" t="str">
        <f t="shared" si="133"/>
        <v>00</v>
      </c>
      <c r="BK101" t="str">
        <f t="shared" si="134"/>
        <v>00</v>
      </c>
      <c r="BL101" t="str">
        <f t="shared" si="135"/>
        <v>00</v>
      </c>
      <c r="BM101" t="str">
        <f t="shared" si="136"/>
        <v>00</v>
      </c>
      <c r="BN101" t="str">
        <f t="shared" si="137"/>
        <v>00</v>
      </c>
      <c r="BO101" t="str">
        <f t="shared" si="138"/>
        <v>04</v>
      </c>
      <c r="BP101" t="str">
        <f t="shared" si="139"/>
        <v>0106010200000000000000000000000000000004</v>
      </c>
      <c r="BQ101" t="str">
        <f t="shared" si="142"/>
        <v>Menu06 L04 N097</v>
      </c>
      <c r="BR101" t="str">
        <f t="shared" si="140"/>
        <v>file97</v>
      </c>
      <c r="BS101" t="str">
        <f t="shared" si="141"/>
        <v>097,00,00,00,01,06,01,02,00,00,00,00,00,00,00,00,00,00,00,00,00,00,00,04,0106010200000000000000000000000000000004,Menu06 L04 N097,file97</v>
      </c>
    </row>
    <row r="102" spans="3:71" x14ac:dyDescent="0.25">
      <c r="C102">
        <f t="shared" si="143"/>
        <v>98</v>
      </c>
      <c r="D102">
        <v>1</v>
      </c>
      <c r="E102">
        <v>6</v>
      </c>
      <c r="F102">
        <v>2</v>
      </c>
      <c r="G102">
        <v>0</v>
      </c>
      <c r="W102" t="s">
        <v>1</v>
      </c>
      <c r="X102" t="str">
        <f t="shared" si="144"/>
        <v>|</v>
      </c>
      <c r="Y102" t="str">
        <f t="shared" si="145"/>
        <v>└</v>
      </c>
      <c r="Z102" t="str">
        <f t="shared" si="146"/>
        <v>--</v>
      </c>
      <c r="AA102" t="str">
        <f t="shared" si="147"/>
        <v/>
      </c>
      <c r="AB102" t="str">
        <f t="shared" si="148"/>
        <v/>
      </c>
      <c r="AC102" t="str">
        <f t="shared" si="149"/>
        <v/>
      </c>
      <c r="AD102" t="str">
        <f t="shared" si="150"/>
        <v/>
      </c>
      <c r="AE102" t="str">
        <f t="shared" si="151"/>
        <v/>
      </c>
      <c r="AF102" t="str">
        <f t="shared" si="152"/>
        <v/>
      </c>
      <c r="AG102" t="str">
        <f t="shared" si="153"/>
        <v/>
      </c>
      <c r="AH102" t="str">
        <f t="shared" si="154"/>
        <v/>
      </c>
      <c r="AI102" t="str">
        <f t="shared" si="155"/>
        <v/>
      </c>
      <c r="AJ102" t="str">
        <f t="shared" si="156"/>
        <v/>
      </c>
      <c r="AK102" t="str">
        <f t="shared" si="157"/>
        <v/>
      </c>
      <c r="AL102" t="str">
        <f t="shared" si="158"/>
        <v/>
      </c>
      <c r="AM102" t="str">
        <f t="shared" si="159"/>
        <v/>
      </c>
      <c r="AN102" t="str">
        <f t="shared" si="160"/>
        <v/>
      </c>
      <c r="AO102" t="str">
        <f t="shared" si="161"/>
        <v/>
      </c>
      <c r="AP102" t="str">
        <f t="shared" si="162"/>
        <v/>
      </c>
      <c r="AQ102" t="s">
        <v>1</v>
      </c>
      <c r="AR102" t="str">
        <f t="shared" si="117"/>
        <v>098</v>
      </c>
      <c r="AS102" t="str">
        <f t="shared" si="118"/>
        <v>00</v>
      </c>
      <c r="AT102" t="str">
        <f t="shared" si="118"/>
        <v>00</v>
      </c>
      <c r="AU102" t="str">
        <f t="shared" si="118"/>
        <v>00</v>
      </c>
      <c r="AV102" t="str">
        <f t="shared" si="119"/>
        <v>01</v>
      </c>
      <c r="AW102" t="str">
        <f t="shared" si="120"/>
        <v>06</v>
      </c>
      <c r="AX102" t="str">
        <f t="shared" si="121"/>
        <v>02</v>
      </c>
      <c r="AY102" t="str">
        <f t="shared" si="122"/>
        <v>00</v>
      </c>
      <c r="AZ102" t="str">
        <f t="shared" si="123"/>
        <v>00</v>
      </c>
      <c r="BA102" t="str">
        <f t="shared" si="124"/>
        <v>00</v>
      </c>
      <c r="BB102" t="str">
        <f t="shared" si="125"/>
        <v>00</v>
      </c>
      <c r="BC102" t="str">
        <f t="shared" si="126"/>
        <v>00</v>
      </c>
      <c r="BD102" t="str">
        <f t="shared" si="127"/>
        <v>00</v>
      </c>
      <c r="BE102" t="str">
        <f t="shared" si="128"/>
        <v>00</v>
      </c>
      <c r="BF102" t="str">
        <f t="shared" si="129"/>
        <v>00</v>
      </c>
      <c r="BG102" t="str">
        <f t="shared" si="130"/>
        <v>00</v>
      </c>
      <c r="BH102" t="str">
        <f t="shared" si="131"/>
        <v>00</v>
      </c>
      <c r="BI102" t="str">
        <f t="shared" si="132"/>
        <v>00</v>
      </c>
      <c r="BJ102" t="str">
        <f t="shared" si="133"/>
        <v>00</v>
      </c>
      <c r="BK102" t="str">
        <f t="shared" si="134"/>
        <v>00</v>
      </c>
      <c r="BL102" t="str">
        <f t="shared" si="135"/>
        <v>00</v>
      </c>
      <c r="BM102" t="str">
        <f t="shared" si="136"/>
        <v>00</v>
      </c>
      <c r="BN102" t="str">
        <f t="shared" si="137"/>
        <v>00</v>
      </c>
      <c r="BO102" t="str">
        <f t="shared" si="138"/>
        <v>03</v>
      </c>
      <c r="BP102" t="str">
        <f t="shared" si="139"/>
        <v>0106020000000000000000000000000000000003</v>
      </c>
      <c r="BQ102" t="str">
        <f t="shared" si="142"/>
        <v>Menu06 L03 N098</v>
      </c>
      <c r="BR102" t="str">
        <f t="shared" ref="BR102:BR110" si="164">"file"&amp;C102</f>
        <v>file98</v>
      </c>
      <c r="BS102" t="str">
        <f t="shared" si="141"/>
        <v>098,00,00,00,01,06,02,00,00,00,00,00,00,00,00,00,00,00,00,00,00,00,00,03,0106020000000000000000000000000000000003,Menu06 L03 N098,file98</v>
      </c>
    </row>
    <row r="103" spans="3:71" x14ac:dyDescent="0.25">
      <c r="C103">
        <f t="shared" si="143"/>
        <v>99</v>
      </c>
      <c r="D103">
        <v>1</v>
      </c>
      <c r="E103">
        <f>E101</f>
        <v>6</v>
      </c>
      <c r="F103">
        <v>2</v>
      </c>
      <c r="G103">
        <v>1</v>
      </c>
      <c r="W103" t="s">
        <v>1</v>
      </c>
      <c r="X103" t="str">
        <f t="shared" si="144"/>
        <v>|</v>
      </c>
      <c r="Y103" t="str">
        <f t="shared" si="145"/>
        <v>|</v>
      </c>
      <c r="Z103" t="str">
        <f t="shared" si="146"/>
        <v>└</v>
      </c>
      <c r="AA103" t="str">
        <f t="shared" si="147"/>
        <v>--</v>
      </c>
      <c r="AB103" t="str">
        <f t="shared" si="148"/>
        <v/>
      </c>
      <c r="AC103" t="str">
        <f t="shared" si="149"/>
        <v/>
      </c>
      <c r="AD103" t="str">
        <f t="shared" si="150"/>
        <v/>
      </c>
      <c r="AE103" t="str">
        <f t="shared" si="151"/>
        <v/>
      </c>
      <c r="AF103" t="str">
        <f t="shared" si="152"/>
        <v/>
      </c>
      <c r="AG103" t="str">
        <f t="shared" si="153"/>
        <v/>
      </c>
      <c r="AH103" t="str">
        <f t="shared" si="154"/>
        <v/>
      </c>
      <c r="AI103" t="str">
        <f t="shared" si="155"/>
        <v/>
      </c>
      <c r="AJ103" t="str">
        <f t="shared" si="156"/>
        <v/>
      </c>
      <c r="AK103" t="str">
        <f t="shared" si="157"/>
        <v/>
      </c>
      <c r="AL103" t="str">
        <f t="shared" si="158"/>
        <v/>
      </c>
      <c r="AM103" t="str">
        <f t="shared" si="159"/>
        <v/>
      </c>
      <c r="AN103" t="str">
        <f t="shared" si="160"/>
        <v/>
      </c>
      <c r="AO103" t="str">
        <f t="shared" si="161"/>
        <v/>
      </c>
      <c r="AP103" t="str">
        <f t="shared" si="162"/>
        <v/>
      </c>
      <c r="AQ103" t="s">
        <v>1</v>
      </c>
      <c r="AR103" t="str">
        <f t="shared" si="117"/>
        <v>099</v>
      </c>
      <c r="AS103" t="str">
        <f t="shared" si="118"/>
        <v>00</v>
      </c>
      <c r="AT103" t="str">
        <f t="shared" si="118"/>
        <v>00</v>
      </c>
      <c r="AU103" t="str">
        <f t="shared" si="118"/>
        <v>00</v>
      </c>
      <c r="AV103" t="str">
        <f t="shared" si="119"/>
        <v>01</v>
      </c>
      <c r="AW103" t="str">
        <f t="shared" si="120"/>
        <v>06</v>
      </c>
      <c r="AX103" t="str">
        <f t="shared" si="121"/>
        <v>02</v>
      </c>
      <c r="AY103" t="str">
        <f t="shared" si="122"/>
        <v>01</v>
      </c>
      <c r="AZ103" t="str">
        <f t="shared" si="123"/>
        <v>00</v>
      </c>
      <c r="BA103" t="str">
        <f t="shared" si="124"/>
        <v>00</v>
      </c>
      <c r="BB103" t="str">
        <f t="shared" si="125"/>
        <v>00</v>
      </c>
      <c r="BC103" t="str">
        <f t="shared" si="126"/>
        <v>00</v>
      </c>
      <c r="BD103" t="str">
        <f t="shared" si="127"/>
        <v>00</v>
      </c>
      <c r="BE103" t="str">
        <f t="shared" si="128"/>
        <v>00</v>
      </c>
      <c r="BF103" t="str">
        <f t="shared" si="129"/>
        <v>00</v>
      </c>
      <c r="BG103" t="str">
        <f t="shared" si="130"/>
        <v>00</v>
      </c>
      <c r="BH103" t="str">
        <f t="shared" si="131"/>
        <v>00</v>
      </c>
      <c r="BI103" t="str">
        <f t="shared" si="132"/>
        <v>00</v>
      </c>
      <c r="BJ103" t="str">
        <f t="shared" si="133"/>
        <v>00</v>
      </c>
      <c r="BK103" t="str">
        <f t="shared" si="134"/>
        <v>00</v>
      </c>
      <c r="BL103" t="str">
        <f t="shared" si="135"/>
        <v>00</v>
      </c>
      <c r="BM103" t="str">
        <f t="shared" si="136"/>
        <v>00</v>
      </c>
      <c r="BN103" t="str">
        <f t="shared" si="137"/>
        <v>00</v>
      </c>
      <c r="BO103" t="str">
        <f t="shared" si="138"/>
        <v>04</v>
      </c>
      <c r="BP103" t="str">
        <f t="shared" si="139"/>
        <v>0106020100000000000000000000000000000004</v>
      </c>
      <c r="BQ103" t="str">
        <f t="shared" si="142"/>
        <v>Menu06 L04 N099</v>
      </c>
      <c r="BR103" t="str">
        <f t="shared" si="164"/>
        <v>file99</v>
      </c>
      <c r="BS103" t="str">
        <f t="shared" si="141"/>
        <v>099,00,00,00,01,06,02,01,00,00,00,00,00,00,00,00,00,00,00,00,00,00,00,04,0106020100000000000000000000000000000004,Menu06 L04 N099,file99</v>
      </c>
    </row>
    <row r="104" spans="3:71" x14ac:dyDescent="0.25">
      <c r="C104">
        <f t="shared" si="143"/>
        <v>100</v>
      </c>
      <c r="D104">
        <v>1</v>
      </c>
      <c r="E104">
        <f t="shared" si="163"/>
        <v>6</v>
      </c>
      <c r="F104">
        <v>2</v>
      </c>
      <c r="G104">
        <v>2</v>
      </c>
      <c r="W104" t="s">
        <v>1</v>
      </c>
      <c r="X104" t="str">
        <f t="shared" si="144"/>
        <v>|</v>
      </c>
      <c r="Y104" t="str">
        <f t="shared" si="145"/>
        <v>|</v>
      </c>
      <c r="Z104" t="str">
        <f t="shared" si="146"/>
        <v>└</v>
      </c>
      <c r="AA104" t="str">
        <f t="shared" si="147"/>
        <v>--</v>
      </c>
      <c r="AB104" t="str">
        <f t="shared" si="148"/>
        <v/>
      </c>
      <c r="AC104" t="str">
        <f t="shared" si="149"/>
        <v/>
      </c>
      <c r="AD104" t="str">
        <f t="shared" si="150"/>
        <v/>
      </c>
      <c r="AE104" t="str">
        <f t="shared" si="151"/>
        <v/>
      </c>
      <c r="AF104" t="str">
        <f t="shared" si="152"/>
        <v/>
      </c>
      <c r="AG104" t="str">
        <f t="shared" si="153"/>
        <v/>
      </c>
      <c r="AH104" t="str">
        <f t="shared" si="154"/>
        <v/>
      </c>
      <c r="AI104" t="str">
        <f t="shared" si="155"/>
        <v/>
      </c>
      <c r="AJ104" t="str">
        <f t="shared" si="156"/>
        <v/>
      </c>
      <c r="AK104" t="str">
        <f t="shared" si="157"/>
        <v/>
      </c>
      <c r="AL104" t="str">
        <f t="shared" si="158"/>
        <v/>
      </c>
      <c r="AM104" t="str">
        <f t="shared" si="159"/>
        <v/>
      </c>
      <c r="AN104" t="str">
        <f t="shared" si="160"/>
        <v/>
      </c>
      <c r="AO104" t="str">
        <f t="shared" si="161"/>
        <v/>
      </c>
      <c r="AP104" t="str">
        <f t="shared" si="162"/>
        <v/>
      </c>
      <c r="AQ104" t="s">
        <v>1</v>
      </c>
      <c r="AR104" t="str">
        <f t="shared" si="117"/>
        <v>100</v>
      </c>
      <c r="AS104" t="str">
        <f t="shared" si="118"/>
        <v>00</v>
      </c>
      <c r="AT104" t="str">
        <f t="shared" si="118"/>
        <v>00</v>
      </c>
      <c r="AU104" t="str">
        <f t="shared" si="118"/>
        <v>00</v>
      </c>
      <c r="AV104" t="str">
        <f t="shared" si="119"/>
        <v>01</v>
      </c>
      <c r="AW104" t="str">
        <f t="shared" si="120"/>
        <v>06</v>
      </c>
      <c r="AX104" t="str">
        <f t="shared" si="121"/>
        <v>02</v>
      </c>
      <c r="AY104" t="str">
        <f t="shared" si="122"/>
        <v>02</v>
      </c>
      <c r="AZ104" t="str">
        <f t="shared" si="123"/>
        <v>00</v>
      </c>
      <c r="BA104" t="str">
        <f t="shared" si="124"/>
        <v>00</v>
      </c>
      <c r="BB104" t="str">
        <f t="shared" si="125"/>
        <v>00</v>
      </c>
      <c r="BC104" t="str">
        <f t="shared" si="126"/>
        <v>00</v>
      </c>
      <c r="BD104" t="str">
        <f t="shared" si="127"/>
        <v>00</v>
      </c>
      <c r="BE104" t="str">
        <f t="shared" si="128"/>
        <v>00</v>
      </c>
      <c r="BF104" t="str">
        <f t="shared" si="129"/>
        <v>00</v>
      </c>
      <c r="BG104" t="str">
        <f t="shared" si="130"/>
        <v>00</v>
      </c>
      <c r="BH104" t="str">
        <f t="shared" si="131"/>
        <v>00</v>
      </c>
      <c r="BI104" t="str">
        <f t="shared" si="132"/>
        <v>00</v>
      </c>
      <c r="BJ104" t="str">
        <f t="shared" si="133"/>
        <v>00</v>
      </c>
      <c r="BK104" t="str">
        <f t="shared" si="134"/>
        <v>00</v>
      </c>
      <c r="BL104" t="str">
        <f t="shared" si="135"/>
        <v>00</v>
      </c>
      <c r="BM104" t="str">
        <f t="shared" si="136"/>
        <v>00</v>
      </c>
      <c r="BN104" t="str">
        <f t="shared" si="137"/>
        <v>00</v>
      </c>
      <c r="BO104" t="str">
        <f t="shared" si="138"/>
        <v>04</v>
      </c>
      <c r="BP104" t="str">
        <f t="shared" si="139"/>
        <v>0106020200000000000000000000000000000004</v>
      </c>
      <c r="BQ104" t="str">
        <f t="shared" si="142"/>
        <v>Menu06 L04 N100</v>
      </c>
      <c r="BR104" t="str">
        <f t="shared" si="164"/>
        <v>file100</v>
      </c>
      <c r="BS104" t="str">
        <f t="shared" si="141"/>
        <v>100,00,00,00,01,06,02,02,00,00,00,00,00,00,00,00,00,00,00,00,00,00,00,04,0106020200000000000000000000000000000004,Menu06 L04 N100,file100</v>
      </c>
    </row>
    <row r="105" spans="3:71" x14ac:dyDescent="0.25">
      <c r="C105">
        <f t="shared" si="143"/>
        <v>101</v>
      </c>
      <c r="D105">
        <v>1</v>
      </c>
      <c r="E105">
        <f t="shared" si="163"/>
        <v>6</v>
      </c>
      <c r="F105">
        <v>2</v>
      </c>
      <c r="G105">
        <v>3</v>
      </c>
      <c r="W105" t="s">
        <v>1</v>
      </c>
      <c r="X105" t="str">
        <f t="shared" si="144"/>
        <v>|</v>
      </c>
      <c r="Y105" t="str">
        <f t="shared" si="145"/>
        <v>|</v>
      </c>
      <c r="Z105" t="str">
        <f t="shared" si="146"/>
        <v>└</v>
      </c>
      <c r="AA105" t="str">
        <f t="shared" si="147"/>
        <v>--</v>
      </c>
      <c r="AB105" t="str">
        <f t="shared" si="148"/>
        <v/>
      </c>
      <c r="AC105" t="str">
        <f t="shared" si="149"/>
        <v/>
      </c>
      <c r="AD105" t="str">
        <f t="shared" si="150"/>
        <v/>
      </c>
      <c r="AE105" t="str">
        <f t="shared" si="151"/>
        <v/>
      </c>
      <c r="AF105" t="str">
        <f t="shared" si="152"/>
        <v/>
      </c>
      <c r="AG105" t="str">
        <f t="shared" si="153"/>
        <v/>
      </c>
      <c r="AH105" t="str">
        <f t="shared" si="154"/>
        <v/>
      </c>
      <c r="AI105" t="str">
        <f t="shared" si="155"/>
        <v/>
      </c>
      <c r="AJ105" t="str">
        <f t="shared" si="156"/>
        <v/>
      </c>
      <c r="AK105" t="str">
        <f t="shared" si="157"/>
        <v/>
      </c>
      <c r="AL105" t="str">
        <f t="shared" si="158"/>
        <v/>
      </c>
      <c r="AM105" t="str">
        <f t="shared" si="159"/>
        <v/>
      </c>
      <c r="AN105" t="str">
        <f t="shared" si="160"/>
        <v/>
      </c>
      <c r="AO105" t="str">
        <f t="shared" si="161"/>
        <v/>
      </c>
      <c r="AP105" t="str">
        <f t="shared" si="162"/>
        <v/>
      </c>
      <c r="AQ105" t="s">
        <v>1</v>
      </c>
      <c r="AR105" t="str">
        <f t="shared" si="117"/>
        <v>101</v>
      </c>
      <c r="AS105" t="str">
        <f t="shared" si="118"/>
        <v>00</v>
      </c>
      <c r="AT105" t="str">
        <f t="shared" si="118"/>
        <v>00</v>
      </c>
      <c r="AU105" t="str">
        <f t="shared" si="118"/>
        <v>00</v>
      </c>
      <c r="AV105" t="str">
        <f t="shared" si="119"/>
        <v>01</v>
      </c>
      <c r="AW105" t="str">
        <f t="shared" si="120"/>
        <v>06</v>
      </c>
      <c r="AX105" t="str">
        <f t="shared" si="121"/>
        <v>02</v>
      </c>
      <c r="AY105" t="str">
        <f t="shared" si="122"/>
        <v>03</v>
      </c>
      <c r="AZ105" t="str">
        <f t="shared" si="123"/>
        <v>00</v>
      </c>
      <c r="BA105" t="str">
        <f t="shared" si="124"/>
        <v>00</v>
      </c>
      <c r="BB105" t="str">
        <f t="shared" si="125"/>
        <v>00</v>
      </c>
      <c r="BC105" t="str">
        <f t="shared" si="126"/>
        <v>00</v>
      </c>
      <c r="BD105" t="str">
        <f t="shared" si="127"/>
        <v>00</v>
      </c>
      <c r="BE105" t="str">
        <f t="shared" si="128"/>
        <v>00</v>
      </c>
      <c r="BF105" t="str">
        <f t="shared" si="129"/>
        <v>00</v>
      </c>
      <c r="BG105" t="str">
        <f t="shared" si="130"/>
        <v>00</v>
      </c>
      <c r="BH105" t="str">
        <f t="shared" si="131"/>
        <v>00</v>
      </c>
      <c r="BI105" t="str">
        <f t="shared" si="132"/>
        <v>00</v>
      </c>
      <c r="BJ105" t="str">
        <f t="shared" si="133"/>
        <v>00</v>
      </c>
      <c r="BK105" t="str">
        <f t="shared" si="134"/>
        <v>00</v>
      </c>
      <c r="BL105" t="str">
        <f t="shared" si="135"/>
        <v>00</v>
      </c>
      <c r="BM105" t="str">
        <f t="shared" si="136"/>
        <v>00</v>
      </c>
      <c r="BN105" t="str">
        <f t="shared" si="137"/>
        <v>00</v>
      </c>
      <c r="BO105" t="str">
        <f t="shared" si="138"/>
        <v>04</v>
      </c>
      <c r="BP105" t="str">
        <f t="shared" si="139"/>
        <v>0106020300000000000000000000000000000004</v>
      </c>
      <c r="BQ105" t="str">
        <f t="shared" si="142"/>
        <v>Menu06 L04 N101</v>
      </c>
      <c r="BR105" t="str">
        <f t="shared" si="164"/>
        <v>file101</v>
      </c>
      <c r="BS105" t="str">
        <f t="shared" si="141"/>
        <v>101,00,00,00,01,06,02,03,00,00,00,00,00,00,00,00,00,00,00,00,00,00,00,04,0106020300000000000000000000000000000004,Menu06 L04 N101,file101</v>
      </c>
    </row>
    <row r="106" spans="3:71" x14ac:dyDescent="0.25">
      <c r="C106">
        <f t="shared" si="143"/>
        <v>102</v>
      </c>
      <c r="D106">
        <v>1</v>
      </c>
      <c r="E106">
        <v>6</v>
      </c>
      <c r="F106">
        <v>3</v>
      </c>
      <c r="G106">
        <v>0</v>
      </c>
      <c r="W106" t="s">
        <v>1</v>
      </c>
      <c r="X106" t="str">
        <f t="shared" si="144"/>
        <v>|</v>
      </c>
      <c r="Y106" t="str">
        <f t="shared" si="145"/>
        <v>└</v>
      </c>
      <c r="Z106" t="str">
        <f t="shared" si="146"/>
        <v>--</v>
      </c>
      <c r="AA106" t="str">
        <f t="shared" si="147"/>
        <v/>
      </c>
      <c r="AB106" t="str">
        <f t="shared" si="148"/>
        <v/>
      </c>
      <c r="AC106" t="str">
        <f t="shared" si="149"/>
        <v/>
      </c>
      <c r="AD106" t="str">
        <f t="shared" si="150"/>
        <v/>
      </c>
      <c r="AE106" t="str">
        <f t="shared" si="151"/>
        <v/>
      </c>
      <c r="AF106" t="str">
        <f t="shared" si="152"/>
        <v/>
      </c>
      <c r="AG106" t="str">
        <f t="shared" si="153"/>
        <v/>
      </c>
      <c r="AH106" t="str">
        <f t="shared" si="154"/>
        <v/>
      </c>
      <c r="AI106" t="str">
        <f t="shared" si="155"/>
        <v/>
      </c>
      <c r="AJ106" t="str">
        <f t="shared" si="156"/>
        <v/>
      </c>
      <c r="AK106" t="str">
        <f t="shared" si="157"/>
        <v/>
      </c>
      <c r="AL106" t="str">
        <f t="shared" si="158"/>
        <v/>
      </c>
      <c r="AM106" t="str">
        <f t="shared" si="159"/>
        <v/>
      </c>
      <c r="AN106" t="str">
        <f t="shared" si="160"/>
        <v/>
      </c>
      <c r="AO106" t="str">
        <f t="shared" si="161"/>
        <v/>
      </c>
      <c r="AP106" t="str">
        <f t="shared" si="162"/>
        <v/>
      </c>
      <c r="AQ106" t="s">
        <v>1</v>
      </c>
      <c r="AR106" t="str">
        <f t="shared" si="117"/>
        <v>102</v>
      </c>
      <c r="AS106" t="str">
        <f t="shared" si="118"/>
        <v>00</v>
      </c>
      <c r="AT106" t="str">
        <f t="shared" si="118"/>
        <v>00</v>
      </c>
      <c r="AU106" t="str">
        <f t="shared" si="118"/>
        <v>00</v>
      </c>
      <c r="AV106" t="str">
        <f t="shared" si="119"/>
        <v>01</v>
      </c>
      <c r="AW106" t="str">
        <f t="shared" si="120"/>
        <v>06</v>
      </c>
      <c r="AX106" t="str">
        <f t="shared" si="121"/>
        <v>03</v>
      </c>
      <c r="AY106" t="str">
        <f t="shared" si="122"/>
        <v>00</v>
      </c>
      <c r="AZ106" t="str">
        <f t="shared" si="123"/>
        <v>00</v>
      </c>
      <c r="BA106" t="str">
        <f t="shared" si="124"/>
        <v>00</v>
      </c>
      <c r="BB106" t="str">
        <f t="shared" si="125"/>
        <v>00</v>
      </c>
      <c r="BC106" t="str">
        <f t="shared" si="126"/>
        <v>00</v>
      </c>
      <c r="BD106" t="str">
        <f t="shared" si="127"/>
        <v>00</v>
      </c>
      <c r="BE106" t="str">
        <f t="shared" si="128"/>
        <v>00</v>
      </c>
      <c r="BF106" t="str">
        <f t="shared" si="129"/>
        <v>00</v>
      </c>
      <c r="BG106" t="str">
        <f t="shared" si="130"/>
        <v>00</v>
      </c>
      <c r="BH106" t="str">
        <f t="shared" si="131"/>
        <v>00</v>
      </c>
      <c r="BI106" t="str">
        <f t="shared" si="132"/>
        <v>00</v>
      </c>
      <c r="BJ106" t="str">
        <f t="shared" si="133"/>
        <v>00</v>
      </c>
      <c r="BK106" t="str">
        <f t="shared" si="134"/>
        <v>00</v>
      </c>
      <c r="BL106" t="str">
        <f t="shared" si="135"/>
        <v>00</v>
      </c>
      <c r="BM106" t="str">
        <f t="shared" si="136"/>
        <v>00</v>
      </c>
      <c r="BN106" t="str">
        <f t="shared" si="137"/>
        <v>00</v>
      </c>
      <c r="BO106" t="str">
        <f t="shared" si="138"/>
        <v>03</v>
      </c>
      <c r="BP106" t="str">
        <f t="shared" si="139"/>
        <v>0106030000000000000000000000000000000003</v>
      </c>
      <c r="BQ106" t="str">
        <f t="shared" si="142"/>
        <v>Menu06 L03 N102</v>
      </c>
      <c r="BR106" t="str">
        <f t="shared" si="164"/>
        <v>file102</v>
      </c>
      <c r="BS106" t="str">
        <f t="shared" si="141"/>
        <v>102,00,00,00,01,06,03,00,00,00,00,00,00,00,00,00,00,00,00,00,00,00,00,03,0106030000000000000000000000000000000003,Menu06 L03 N102,file102</v>
      </c>
    </row>
    <row r="107" spans="3:71" x14ac:dyDescent="0.25">
      <c r="C107">
        <f t="shared" si="143"/>
        <v>103</v>
      </c>
      <c r="D107">
        <v>1</v>
      </c>
      <c r="E107">
        <f>E105</f>
        <v>6</v>
      </c>
      <c r="F107">
        <v>3</v>
      </c>
      <c r="G107">
        <v>1</v>
      </c>
      <c r="W107" t="s">
        <v>1</v>
      </c>
      <c r="X107" t="str">
        <f t="shared" si="144"/>
        <v>|</v>
      </c>
      <c r="Y107" t="str">
        <f t="shared" si="145"/>
        <v>|</v>
      </c>
      <c r="Z107" t="str">
        <f t="shared" si="146"/>
        <v>└</v>
      </c>
      <c r="AA107" t="str">
        <f t="shared" si="147"/>
        <v>--</v>
      </c>
      <c r="AB107" t="str">
        <f t="shared" si="148"/>
        <v/>
      </c>
      <c r="AC107" t="str">
        <f t="shared" si="149"/>
        <v/>
      </c>
      <c r="AD107" t="str">
        <f t="shared" si="150"/>
        <v/>
      </c>
      <c r="AE107" t="str">
        <f t="shared" si="151"/>
        <v/>
      </c>
      <c r="AF107" t="str">
        <f t="shared" si="152"/>
        <v/>
      </c>
      <c r="AG107" t="str">
        <f t="shared" si="153"/>
        <v/>
      </c>
      <c r="AH107" t="str">
        <f t="shared" si="154"/>
        <v/>
      </c>
      <c r="AI107" t="str">
        <f t="shared" si="155"/>
        <v/>
      </c>
      <c r="AJ107" t="str">
        <f t="shared" si="156"/>
        <v/>
      </c>
      <c r="AK107" t="str">
        <f t="shared" si="157"/>
        <v/>
      </c>
      <c r="AL107" t="str">
        <f t="shared" si="158"/>
        <v/>
      </c>
      <c r="AM107" t="str">
        <f t="shared" si="159"/>
        <v/>
      </c>
      <c r="AN107" t="str">
        <f t="shared" si="160"/>
        <v/>
      </c>
      <c r="AO107" t="str">
        <f t="shared" si="161"/>
        <v/>
      </c>
      <c r="AP107" t="str">
        <f t="shared" si="162"/>
        <v/>
      </c>
      <c r="AQ107" t="s">
        <v>1</v>
      </c>
      <c r="AR107" t="str">
        <f t="shared" si="117"/>
        <v>103</v>
      </c>
      <c r="AS107" t="str">
        <f t="shared" si="118"/>
        <v>00</v>
      </c>
      <c r="AT107" t="str">
        <f t="shared" si="118"/>
        <v>00</v>
      </c>
      <c r="AU107" t="str">
        <f t="shared" si="118"/>
        <v>00</v>
      </c>
      <c r="AV107" t="str">
        <f t="shared" si="119"/>
        <v>01</v>
      </c>
      <c r="AW107" t="str">
        <f t="shared" si="120"/>
        <v>06</v>
      </c>
      <c r="AX107" t="str">
        <f t="shared" si="121"/>
        <v>03</v>
      </c>
      <c r="AY107" t="str">
        <f t="shared" si="122"/>
        <v>01</v>
      </c>
      <c r="AZ107" t="str">
        <f t="shared" si="123"/>
        <v>00</v>
      </c>
      <c r="BA107" t="str">
        <f t="shared" si="124"/>
        <v>00</v>
      </c>
      <c r="BB107" t="str">
        <f t="shared" si="125"/>
        <v>00</v>
      </c>
      <c r="BC107" t="str">
        <f t="shared" si="126"/>
        <v>00</v>
      </c>
      <c r="BD107" t="str">
        <f t="shared" si="127"/>
        <v>00</v>
      </c>
      <c r="BE107" t="str">
        <f t="shared" si="128"/>
        <v>00</v>
      </c>
      <c r="BF107" t="str">
        <f t="shared" si="129"/>
        <v>00</v>
      </c>
      <c r="BG107" t="str">
        <f t="shared" si="130"/>
        <v>00</v>
      </c>
      <c r="BH107" t="str">
        <f t="shared" si="131"/>
        <v>00</v>
      </c>
      <c r="BI107" t="str">
        <f t="shared" si="132"/>
        <v>00</v>
      </c>
      <c r="BJ107" t="str">
        <f t="shared" si="133"/>
        <v>00</v>
      </c>
      <c r="BK107" t="str">
        <f t="shared" si="134"/>
        <v>00</v>
      </c>
      <c r="BL107" t="str">
        <f t="shared" si="135"/>
        <v>00</v>
      </c>
      <c r="BM107" t="str">
        <f t="shared" si="136"/>
        <v>00</v>
      </c>
      <c r="BN107" t="str">
        <f t="shared" si="137"/>
        <v>00</v>
      </c>
      <c r="BO107" t="str">
        <f t="shared" si="138"/>
        <v>04</v>
      </c>
      <c r="BP107" t="str">
        <f t="shared" si="139"/>
        <v>0106030100000000000000000000000000000004</v>
      </c>
      <c r="BQ107" t="str">
        <f t="shared" si="142"/>
        <v>Menu06 L04 N103</v>
      </c>
      <c r="BR107" t="str">
        <f t="shared" si="164"/>
        <v>file103</v>
      </c>
      <c r="BS107" t="str">
        <f t="shared" si="141"/>
        <v>103,00,00,00,01,06,03,01,00,00,00,00,00,00,00,00,00,00,00,00,00,00,00,04,0106030100000000000000000000000000000004,Menu06 L04 N103,file103</v>
      </c>
    </row>
    <row r="108" spans="3:71" x14ac:dyDescent="0.25">
      <c r="C108">
        <f t="shared" si="143"/>
        <v>104</v>
      </c>
      <c r="D108">
        <v>1</v>
      </c>
      <c r="E108">
        <f t="shared" si="163"/>
        <v>6</v>
      </c>
      <c r="F108">
        <v>3</v>
      </c>
      <c r="G108">
        <v>2</v>
      </c>
      <c r="W108" t="s">
        <v>1</v>
      </c>
      <c r="X108" t="str">
        <f t="shared" si="144"/>
        <v>|</v>
      </c>
      <c r="Y108" t="str">
        <f t="shared" si="145"/>
        <v>|</v>
      </c>
      <c r="Z108" t="str">
        <f t="shared" si="146"/>
        <v>└</v>
      </c>
      <c r="AA108" t="str">
        <f t="shared" si="147"/>
        <v>--</v>
      </c>
      <c r="AB108" t="str">
        <f t="shared" si="148"/>
        <v/>
      </c>
      <c r="AC108" t="str">
        <f t="shared" si="149"/>
        <v/>
      </c>
      <c r="AD108" t="str">
        <f t="shared" si="150"/>
        <v/>
      </c>
      <c r="AE108" t="str">
        <f t="shared" si="151"/>
        <v/>
      </c>
      <c r="AF108" t="str">
        <f t="shared" si="152"/>
        <v/>
      </c>
      <c r="AG108" t="str">
        <f t="shared" si="153"/>
        <v/>
      </c>
      <c r="AH108" t="str">
        <f t="shared" si="154"/>
        <v/>
      </c>
      <c r="AI108" t="str">
        <f t="shared" si="155"/>
        <v/>
      </c>
      <c r="AJ108" t="str">
        <f t="shared" si="156"/>
        <v/>
      </c>
      <c r="AK108" t="str">
        <f t="shared" si="157"/>
        <v/>
      </c>
      <c r="AL108" t="str">
        <f t="shared" si="158"/>
        <v/>
      </c>
      <c r="AM108" t="str">
        <f t="shared" si="159"/>
        <v/>
      </c>
      <c r="AN108" t="str">
        <f t="shared" si="160"/>
        <v/>
      </c>
      <c r="AO108" t="str">
        <f t="shared" si="161"/>
        <v/>
      </c>
      <c r="AP108" t="str">
        <f t="shared" si="162"/>
        <v/>
      </c>
      <c r="AQ108" t="s">
        <v>1</v>
      </c>
      <c r="AR108" t="str">
        <f t="shared" si="117"/>
        <v>104</v>
      </c>
      <c r="AS108" t="str">
        <f t="shared" si="118"/>
        <v>00</v>
      </c>
      <c r="AT108" t="str">
        <f t="shared" si="118"/>
        <v>00</v>
      </c>
      <c r="AU108" t="str">
        <f t="shared" si="118"/>
        <v>00</v>
      </c>
      <c r="AV108" t="str">
        <f t="shared" si="119"/>
        <v>01</v>
      </c>
      <c r="AW108" t="str">
        <f t="shared" si="120"/>
        <v>06</v>
      </c>
      <c r="AX108" t="str">
        <f t="shared" si="121"/>
        <v>03</v>
      </c>
      <c r="AY108" t="str">
        <f t="shared" si="122"/>
        <v>02</v>
      </c>
      <c r="AZ108" t="str">
        <f t="shared" si="123"/>
        <v>00</v>
      </c>
      <c r="BA108" t="str">
        <f t="shared" si="124"/>
        <v>00</v>
      </c>
      <c r="BB108" t="str">
        <f t="shared" si="125"/>
        <v>00</v>
      </c>
      <c r="BC108" t="str">
        <f t="shared" si="126"/>
        <v>00</v>
      </c>
      <c r="BD108" t="str">
        <f t="shared" si="127"/>
        <v>00</v>
      </c>
      <c r="BE108" t="str">
        <f t="shared" si="128"/>
        <v>00</v>
      </c>
      <c r="BF108" t="str">
        <f t="shared" si="129"/>
        <v>00</v>
      </c>
      <c r="BG108" t="str">
        <f t="shared" si="130"/>
        <v>00</v>
      </c>
      <c r="BH108" t="str">
        <f t="shared" si="131"/>
        <v>00</v>
      </c>
      <c r="BI108" t="str">
        <f t="shared" si="132"/>
        <v>00</v>
      </c>
      <c r="BJ108" t="str">
        <f t="shared" si="133"/>
        <v>00</v>
      </c>
      <c r="BK108" t="str">
        <f t="shared" si="134"/>
        <v>00</v>
      </c>
      <c r="BL108" t="str">
        <f t="shared" si="135"/>
        <v>00</v>
      </c>
      <c r="BM108" t="str">
        <f t="shared" si="136"/>
        <v>00</v>
      </c>
      <c r="BN108" t="str">
        <f t="shared" si="137"/>
        <v>00</v>
      </c>
      <c r="BO108" t="str">
        <f t="shared" si="138"/>
        <v>04</v>
      </c>
      <c r="BP108" t="str">
        <f t="shared" si="139"/>
        <v>0106030200000000000000000000000000000004</v>
      </c>
      <c r="BQ108" t="str">
        <f t="shared" si="142"/>
        <v>Menu06 L04 N104</v>
      </c>
      <c r="BR108" t="str">
        <f t="shared" si="164"/>
        <v>file104</v>
      </c>
      <c r="BS108" t="str">
        <f t="shared" si="141"/>
        <v>104,00,00,00,01,06,03,02,00,00,00,00,00,00,00,00,00,00,00,00,00,00,00,04,0106030200000000000000000000000000000004,Menu06 L04 N104,file104</v>
      </c>
    </row>
    <row r="109" spans="3:71" x14ac:dyDescent="0.25">
      <c r="C109">
        <f t="shared" si="143"/>
        <v>105</v>
      </c>
      <c r="D109">
        <v>1</v>
      </c>
      <c r="E109">
        <f t="shared" si="163"/>
        <v>6</v>
      </c>
      <c r="F109">
        <v>3</v>
      </c>
      <c r="G109">
        <v>3</v>
      </c>
      <c r="W109" t="s">
        <v>1</v>
      </c>
      <c r="X109" t="str">
        <f t="shared" si="144"/>
        <v>|</v>
      </c>
      <c r="Y109" t="str">
        <f t="shared" si="145"/>
        <v>|</v>
      </c>
      <c r="Z109" t="str">
        <f t="shared" si="146"/>
        <v>└</v>
      </c>
      <c r="AA109" t="str">
        <f t="shared" si="147"/>
        <v>--</v>
      </c>
      <c r="AB109" t="str">
        <f t="shared" si="148"/>
        <v/>
      </c>
      <c r="AC109" t="str">
        <f t="shared" si="149"/>
        <v/>
      </c>
      <c r="AD109" t="str">
        <f t="shared" si="150"/>
        <v/>
      </c>
      <c r="AE109" t="str">
        <f t="shared" si="151"/>
        <v/>
      </c>
      <c r="AF109" t="str">
        <f t="shared" si="152"/>
        <v/>
      </c>
      <c r="AG109" t="str">
        <f t="shared" si="153"/>
        <v/>
      </c>
      <c r="AH109" t="str">
        <f t="shared" si="154"/>
        <v/>
      </c>
      <c r="AI109" t="str">
        <f t="shared" si="155"/>
        <v/>
      </c>
      <c r="AJ109" t="str">
        <f t="shared" si="156"/>
        <v/>
      </c>
      <c r="AK109" t="str">
        <f t="shared" si="157"/>
        <v/>
      </c>
      <c r="AL109" t="str">
        <f t="shared" si="158"/>
        <v/>
      </c>
      <c r="AM109" t="str">
        <f t="shared" si="159"/>
        <v/>
      </c>
      <c r="AN109" t="str">
        <f t="shared" si="160"/>
        <v/>
      </c>
      <c r="AO109" t="str">
        <f t="shared" si="161"/>
        <v/>
      </c>
      <c r="AP109" t="str">
        <f t="shared" si="162"/>
        <v/>
      </c>
      <c r="AQ109" t="s">
        <v>1</v>
      </c>
      <c r="AR109" t="str">
        <f t="shared" si="117"/>
        <v>105</v>
      </c>
      <c r="AS109" t="str">
        <f t="shared" si="118"/>
        <v>00</v>
      </c>
      <c r="AT109" t="str">
        <f t="shared" si="118"/>
        <v>00</v>
      </c>
      <c r="AU109" t="str">
        <f t="shared" si="118"/>
        <v>00</v>
      </c>
      <c r="AV109" t="str">
        <f t="shared" si="119"/>
        <v>01</v>
      </c>
      <c r="AW109" t="str">
        <f t="shared" si="120"/>
        <v>06</v>
      </c>
      <c r="AX109" t="str">
        <f t="shared" si="121"/>
        <v>03</v>
      </c>
      <c r="AY109" t="str">
        <f t="shared" si="122"/>
        <v>03</v>
      </c>
      <c r="AZ109" t="str">
        <f t="shared" si="123"/>
        <v>00</v>
      </c>
      <c r="BA109" t="str">
        <f t="shared" si="124"/>
        <v>00</v>
      </c>
      <c r="BB109" t="str">
        <f t="shared" si="125"/>
        <v>00</v>
      </c>
      <c r="BC109" t="str">
        <f t="shared" si="126"/>
        <v>00</v>
      </c>
      <c r="BD109" t="str">
        <f t="shared" si="127"/>
        <v>00</v>
      </c>
      <c r="BE109" t="str">
        <f t="shared" si="128"/>
        <v>00</v>
      </c>
      <c r="BF109" t="str">
        <f t="shared" si="129"/>
        <v>00</v>
      </c>
      <c r="BG109" t="str">
        <f t="shared" si="130"/>
        <v>00</v>
      </c>
      <c r="BH109" t="str">
        <f t="shared" si="131"/>
        <v>00</v>
      </c>
      <c r="BI109" t="str">
        <f t="shared" si="132"/>
        <v>00</v>
      </c>
      <c r="BJ109" t="str">
        <f t="shared" si="133"/>
        <v>00</v>
      </c>
      <c r="BK109" t="str">
        <f t="shared" si="134"/>
        <v>00</v>
      </c>
      <c r="BL109" t="str">
        <f t="shared" si="135"/>
        <v>00</v>
      </c>
      <c r="BM109" t="str">
        <f t="shared" si="136"/>
        <v>00</v>
      </c>
      <c r="BN109" t="str">
        <f t="shared" si="137"/>
        <v>00</v>
      </c>
      <c r="BO109" t="str">
        <f t="shared" si="138"/>
        <v>04</v>
      </c>
      <c r="BP109" t="str">
        <f t="shared" si="139"/>
        <v>0106030300000000000000000000000000000004</v>
      </c>
      <c r="BQ109" t="str">
        <f t="shared" si="142"/>
        <v>Menu06 L04 N105</v>
      </c>
      <c r="BR109" t="str">
        <f t="shared" si="164"/>
        <v>file105</v>
      </c>
      <c r="BS109" t="str">
        <f t="shared" si="141"/>
        <v>105,00,00,00,01,06,03,03,00,00,00,00,00,00,00,00,00,00,00,00,00,00,00,04,0106030300000000000000000000000000000004,Menu06 L04 N105,file105</v>
      </c>
    </row>
    <row r="110" spans="3:71" x14ac:dyDescent="0.25">
      <c r="C110">
        <f t="shared" si="143"/>
        <v>106</v>
      </c>
      <c r="D110">
        <v>1</v>
      </c>
      <c r="E110">
        <f t="shared" si="163"/>
        <v>6</v>
      </c>
      <c r="F110">
        <v>3</v>
      </c>
      <c r="G110">
        <v>4</v>
      </c>
      <c r="W110" t="s">
        <v>1</v>
      </c>
      <c r="X110" t="str">
        <f t="shared" si="144"/>
        <v>|</v>
      </c>
      <c r="Y110" t="str">
        <f t="shared" si="145"/>
        <v>|</v>
      </c>
      <c r="Z110" t="str">
        <f t="shared" si="146"/>
        <v>└</v>
      </c>
      <c r="AA110" t="str">
        <f t="shared" si="147"/>
        <v>--</v>
      </c>
      <c r="AB110" t="str">
        <f t="shared" si="148"/>
        <v/>
      </c>
      <c r="AC110" t="str">
        <f t="shared" si="149"/>
        <v/>
      </c>
      <c r="AD110" t="str">
        <f t="shared" si="150"/>
        <v/>
      </c>
      <c r="AE110" t="str">
        <f t="shared" si="151"/>
        <v/>
      </c>
      <c r="AF110" t="str">
        <f t="shared" si="152"/>
        <v/>
      </c>
      <c r="AG110" t="str">
        <f t="shared" si="153"/>
        <v/>
      </c>
      <c r="AH110" t="str">
        <f t="shared" si="154"/>
        <v/>
      </c>
      <c r="AI110" t="str">
        <f t="shared" si="155"/>
        <v/>
      </c>
      <c r="AJ110" t="str">
        <f t="shared" si="156"/>
        <v/>
      </c>
      <c r="AK110" t="str">
        <f t="shared" si="157"/>
        <v/>
      </c>
      <c r="AL110" t="str">
        <f t="shared" si="158"/>
        <v/>
      </c>
      <c r="AM110" t="str">
        <f t="shared" si="159"/>
        <v/>
      </c>
      <c r="AN110" t="str">
        <f t="shared" si="160"/>
        <v/>
      </c>
      <c r="AO110" t="str">
        <f t="shared" si="161"/>
        <v/>
      </c>
      <c r="AP110" t="str">
        <f t="shared" si="162"/>
        <v/>
      </c>
      <c r="AQ110" t="s">
        <v>1</v>
      </c>
      <c r="AR110" t="str">
        <f t="shared" si="117"/>
        <v>106</v>
      </c>
      <c r="AS110" t="str">
        <f t="shared" si="118"/>
        <v>00</v>
      </c>
      <c r="AT110" t="str">
        <f t="shared" si="118"/>
        <v>00</v>
      </c>
      <c r="AU110" t="str">
        <f t="shared" si="118"/>
        <v>00</v>
      </c>
      <c r="AV110" t="str">
        <f t="shared" si="119"/>
        <v>01</v>
      </c>
      <c r="AW110" t="str">
        <f t="shared" si="120"/>
        <v>06</v>
      </c>
      <c r="AX110" t="str">
        <f t="shared" si="121"/>
        <v>03</v>
      </c>
      <c r="AY110" t="str">
        <f t="shared" si="122"/>
        <v>04</v>
      </c>
      <c r="AZ110" t="str">
        <f t="shared" si="123"/>
        <v>00</v>
      </c>
      <c r="BA110" t="str">
        <f t="shared" si="124"/>
        <v>00</v>
      </c>
      <c r="BB110" t="str">
        <f t="shared" si="125"/>
        <v>00</v>
      </c>
      <c r="BC110" t="str">
        <f t="shared" si="126"/>
        <v>00</v>
      </c>
      <c r="BD110" t="str">
        <f t="shared" si="127"/>
        <v>00</v>
      </c>
      <c r="BE110" t="str">
        <f t="shared" si="128"/>
        <v>00</v>
      </c>
      <c r="BF110" t="str">
        <f t="shared" si="129"/>
        <v>00</v>
      </c>
      <c r="BG110" t="str">
        <f t="shared" si="130"/>
        <v>00</v>
      </c>
      <c r="BH110" t="str">
        <f t="shared" si="131"/>
        <v>00</v>
      </c>
      <c r="BI110" t="str">
        <f t="shared" si="132"/>
        <v>00</v>
      </c>
      <c r="BJ110" t="str">
        <f t="shared" si="133"/>
        <v>00</v>
      </c>
      <c r="BK110" t="str">
        <f t="shared" si="134"/>
        <v>00</v>
      </c>
      <c r="BL110" t="str">
        <f t="shared" si="135"/>
        <v>00</v>
      </c>
      <c r="BM110" t="str">
        <f t="shared" si="136"/>
        <v>00</v>
      </c>
      <c r="BN110" t="str">
        <f t="shared" si="137"/>
        <v>00</v>
      </c>
      <c r="BO110" t="str">
        <f t="shared" si="138"/>
        <v>04</v>
      </c>
      <c r="BP110" t="str">
        <f t="shared" si="139"/>
        <v>0106030400000000000000000000000000000004</v>
      </c>
      <c r="BQ110" t="str">
        <f t="shared" si="142"/>
        <v>Menu06 L04 N106</v>
      </c>
      <c r="BR110" t="str">
        <f t="shared" si="164"/>
        <v>file106</v>
      </c>
      <c r="BS110" t="str">
        <f t="shared" si="141"/>
        <v>106,00,00,00,01,06,03,04,00,00,00,00,00,00,00,00,00,00,00,00,00,00,00,04,0106030400000000000000000000000000000004,Menu06 L04 N106,file106</v>
      </c>
    </row>
  </sheetData>
  <mergeCells count="3">
    <mergeCell ref="E2:T2"/>
    <mergeCell ref="U2:V2"/>
    <mergeCell ref="BQ2:B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generator</vt:lpstr>
      <vt:lpstr>lama tak pakai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sharifah.rin@gmail.com</dc:creator>
  <cp:lastModifiedBy>Itmam Md Khairi</cp:lastModifiedBy>
  <dcterms:created xsi:type="dcterms:W3CDTF">2026-07-08T23:05:02Z</dcterms:created>
  <dcterms:modified xsi:type="dcterms:W3CDTF">2026-08-24T03:42:16Z</dcterms:modified>
</cp:coreProperties>
</file>